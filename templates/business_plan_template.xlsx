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HITE\a Dropbox\MARC\ir\BP + kpis etc\"/>
    </mc:Choice>
  </mc:AlternateContent>
  <xr:revisionPtr revIDLastSave="0" documentId="13_ncr:1_{8C14755C-5FC8-4CC3-B570-C795FB4DF226}" xr6:coauthVersionLast="47" xr6:coauthVersionMax="47" xr10:uidLastSave="{00000000-0000-0000-0000-000000000000}"/>
  <bookViews>
    <workbookView xWindow="-110" yWindow="-110" windowWidth="19420" windowHeight="10300" firstSheet="3" activeTab="4" xr2:uid="{916F69A1-0A1C-4F88-B1A3-7B3097817516}"/>
  </bookViews>
  <sheets>
    <sheet name="NONO" sheetId="1" state="hidden" r:id="rId1"/>
    <sheet name="Lease option 1" sheetId="2" state="hidden" r:id="rId2"/>
    <sheet name="Lease option 2" sheetId="3" state="hidden" r:id="rId3"/>
    <sheet name="FORM" sheetId="12" r:id="rId4"/>
    <sheet name="Projections" sheetId="4" r:id="rId5"/>
    <sheet name="PEM" sheetId="14" r:id="rId6"/>
    <sheet name="Especerías - Expenses" sheetId="9" state="hidden" r:id="rId7"/>
    <sheet name="Sheet2" sheetId="11" state="hidden" r:id="rId8"/>
    <sheet name="Superfícies" sheetId="10" state="hidden" r:id="rId9"/>
    <sheet name="Sizes" sheetId="16" r:id="rId10"/>
    <sheet name="Listings" sheetId="13" r:id="rId1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50" i="4"/>
  <c r="T62" i="4"/>
  <c r="S62" i="4"/>
  <c r="R62" i="4"/>
  <c r="Q62" i="4"/>
  <c r="P62" i="4"/>
  <c r="O62" i="4"/>
  <c r="N62" i="4"/>
  <c r="M62" i="4"/>
  <c r="L62" i="4"/>
  <c r="K62" i="4"/>
  <c r="C73" i="4"/>
  <c r="W62" i="4"/>
  <c r="D6" i="16"/>
  <c r="D5" i="16"/>
  <c r="D4" i="16"/>
  <c r="D3" i="16"/>
  <c r="I15" i="4"/>
  <c r="L15" i="4" s="1"/>
  <c r="H93" i="4"/>
  <c r="H94" i="4"/>
  <c r="F69" i="4"/>
  <c r="F68" i="4"/>
  <c r="F67" i="4"/>
  <c r="F66" i="4"/>
  <c r="C22" i="4"/>
  <c r="B25" i="4" s="1"/>
  <c r="G51" i="4" s="1"/>
  <c r="C186" i="4"/>
  <c r="C192" i="4"/>
  <c r="Q195" i="4" s="1"/>
  <c r="C184" i="4"/>
  <c r="C185" i="4" s="1"/>
  <c r="B22" i="4"/>
  <c r="G22" i="4" s="1"/>
  <c r="L11" i="9"/>
  <c r="M11" i="9"/>
  <c r="N11" i="9"/>
  <c r="O11" i="9"/>
  <c r="P11" i="9"/>
  <c r="Q11" i="9"/>
  <c r="R11" i="9"/>
  <c r="S11" i="9"/>
  <c r="T11" i="9"/>
  <c r="K11" i="9"/>
  <c r="M15" i="4" l="1"/>
  <c r="I16" i="4"/>
  <c r="K16" i="4" s="1"/>
  <c r="I17" i="4"/>
  <c r="K17" i="4" s="1"/>
  <c r="I18" i="4"/>
  <c r="K18" i="4" s="1"/>
  <c r="K15" i="4"/>
  <c r="T73" i="4"/>
  <c r="S73" i="4"/>
  <c r="R73" i="4"/>
  <c r="S72" i="4"/>
  <c r="Q72" i="4"/>
  <c r="P72" i="4"/>
  <c r="R72" i="4"/>
  <c r="P195" i="4"/>
  <c r="T195" i="4"/>
  <c r="S195" i="4"/>
  <c r="R195" i="4"/>
  <c r="Q73" i="4"/>
  <c r="P73" i="4"/>
  <c r="T72" i="4"/>
  <c r="N64" i="4"/>
  <c r="H17" i="9"/>
  <c r="G23" i="4"/>
  <c r="H23" i="4"/>
  <c r="L64" i="4" l="1"/>
  <c r="K64" i="4"/>
  <c r="H66" i="4" s="1"/>
  <c r="T64" i="4"/>
  <c r="S64" i="4"/>
  <c r="R64" i="4"/>
  <c r="Q64" i="4"/>
  <c r="M64" i="4"/>
  <c r="P64" i="4"/>
  <c r="O64" i="4"/>
  <c r="D7" i="11"/>
  <c r="E7" i="11" s="1"/>
  <c r="D6" i="11"/>
  <c r="E6" i="11" s="1"/>
  <c r="E12" i="10"/>
  <c r="D12" i="10"/>
  <c r="I23" i="4"/>
  <c r="H22" i="4"/>
  <c r="I22" i="4" s="1"/>
  <c r="S104" i="4"/>
  <c r="R104" i="4"/>
  <c r="Q104" i="4"/>
  <c r="P104" i="4"/>
  <c r="N104" i="4"/>
  <c r="M104" i="4"/>
  <c r="L104" i="4"/>
  <c r="K104" i="4"/>
  <c r="L23" i="4" l="1"/>
  <c r="M23" i="4"/>
  <c r="N23" i="4"/>
  <c r="O23" i="4"/>
  <c r="P23" i="4"/>
  <c r="Q23" i="4"/>
  <c r="R23" i="4"/>
  <c r="S23" i="4"/>
  <c r="T23" i="4"/>
  <c r="K23" i="4"/>
  <c r="L22" i="4"/>
  <c r="M22" i="4"/>
  <c r="N22" i="4"/>
  <c r="O22" i="4"/>
  <c r="P22" i="4"/>
  <c r="Q22" i="4"/>
  <c r="R22" i="4"/>
  <c r="S22" i="4"/>
  <c r="K22" i="4"/>
  <c r="K67" i="4"/>
  <c r="L67" i="4" s="1"/>
  <c r="M67" i="4" s="1"/>
  <c r="N67" i="4" s="1"/>
  <c r="O67" i="4" s="1"/>
  <c r="P67" i="4" s="1"/>
  <c r="Q67" i="4" s="1"/>
  <c r="R67" i="4" s="1"/>
  <c r="S67" i="4" s="1"/>
  <c r="T67" i="4" s="1"/>
  <c r="K69" i="4" l="1"/>
  <c r="K68" i="4"/>
  <c r="L68" i="4" s="1"/>
  <c r="M68" i="4" s="1"/>
  <c r="N68" i="4" s="1"/>
  <c r="O68" i="4" s="1"/>
  <c r="P68" i="4" s="1"/>
  <c r="Q68" i="4" s="1"/>
  <c r="R68" i="4" s="1"/>
  <c r="S68" i="4" s="1"/>
  <c r="T68" i="4" s="1"/>
  <c r="K66" i="4"/>
  <c r="T194" i="4"/>
  <c r="S194" i="4"/>
  <c r="R194" i="4"/>
  <c r="Q194" i="4"/>
  <c r="O194" i="4"/>
  <c r="N194" i="4"/>
  <c r="M194" i="4"/>
  <c r="L194" i="4"/>
  <c r="K194" i="4"/>
  <c r="U191" i="4"/>
  <c r="L190" i="4"/>
  <c r="M190" i="4"/>
  <c r="N190" i="4"/>
  <c r="O190" i="4"/>
  <c r="P190" i="4"/>
  <c r="Q190" i="4"/>
  <c r="R190" i="4"/>
  <c r="S190" i="4"/>
  <c r="T190" i="4"/>
  <c r="U190" i="4"/>
  <c r="L189" i="4"/>
  <c r="K189" i="4"/>
  <c r="U187" i="4"/>
  <c r="T187" i="4"/>
  <c r="C183" i="4"/>
  <c r="C61" i="4"/>
  <c r="G49" i="4" s="1"/>
  <c r="U182" i="4"/>
  <c r="T182" i="4"/>
  <c r="S182" i="4"/>
  <c r="R182" i="4"/>
  <c r="Q182" i="4"/>
  <c r="P182" i="4"/>
  <c r="O182" i="4"/>
  <c r="N182" i="4"/>
  <c r="M182" i="4"/>
  <c r="L182" i="4"/>
  <c r="K182" i="4"/>
  <c r="N15" i="4"/>
  <c r="O15" i="4"/>
  <c r="P15" i="4"/>
  <c r="Q15" i="4"/>
  <c r="R15" i="4"/>
  <c r="S15" i="4"/>
  <c r="T15" i="4"/>
  <c r="U186" i="4" l="1"/>
  <c r="T63" i="4"/>
  <c r="T87" i="4" s="1"/>
  <c r="Q63" i="4"/>
  <c r="Q87" i="4" s="1"/>
  <c r="S63" i="4"/>
  <c r="S87" i="4" s="1"/>
  <c r="P63" i="4"/>
  <c r="P87" i="4" s="1"/>
  <c r="K63" i="4"/>
  <c r="K87" i="4" s="1"/>
  <c r="R63" i="4"/>
  <c r="R87" i="4" s="1"/>
  <c r="O63" i="4"/>
  <c r="O87" i="4" s="1"/>
  <c r="L63" i="4"/>
  <c r="L87" i="4" s="1"/>
  <c r="N63" i="4"/>
  <c r="N87" i="4" s="1"/>
  <c r="M63" i="4"/>
  <c r="M87" i="4" s="1"/>
  <c r="T22" i="4"/>
  <c r="K18" i="9" l="1"/>
  <c r="K39" i="9" s="1"/>
  <c r="L39" i="9" s="1"/>
  <c r="M39" i="9" s="1"/>
  <c r="N39" i="9" s="1"/>
  <c r="O39" i="9" s="1"/>
  <c r="P39" i="9" s="1"/>
  <c r="Q39" i="9" s="1"/>
  <c r="R39" i="9" s="1"/>
  <c r="S39" i="9" s="1"/>
  <c r="T39" i="9" s="1"/>
  <c r="K19" i="9"/>
  <c r="L19" i="9" s="1"/>
  <c r="M19" i="9" s="1"/>
  <c r="N19" i="9" s="1"/>
  <c r="O19" i="9" s="1"/>
  <c r="P19" i="9" s="1"/>
  <c r="Q19" i="9" s="1"/>
  <c r="R19" i="9" s="1"/>
  <c r="S19" i="9" s="1"/>
  <c r="T19" i="9" s="1"/>
  <c r="K64" i="9"/>
  <c r="L64" i="9" s="1"/>
  <c r="M64" i="9" s="1"/>
  <c r="N64" i="9" s="1"/>
  <c r="O64" i="9" s="1"/>
  <c r="P64" i="9" s="1"/>
  <c r="Q64" i="9" s="1"/>
  <c r="R64" i="9" s="1"/>
  <c r="S64" i="9" s="1"/>
  <c r="T64" i="9" s="1"/>
  <c r="C62" i="9"/>
  <c r="C56" i="9"/>
  <c r="K55" i="9"/>
  <c r="L55" i="9" s="1"/>
  <c r="M55" i="9" s="1"/>
  <c r="N55" i="9" s="1"/>
  <c r="O55" i="9" s="1"/>
  <c r="P55" i="9" s="1"/>
  <c r="Q55" i="9" s="1"/>
  <c r="R55" i="9" s="1"/>
  <c r="S55" i="9" s="1"/>
  <c r="T55" i="9" s="1"/>
  <c r="K45" i="9"/>
  <c r="L45" i="9" s="1"/>
  <c r="M45" i="9" s="1"/>
  <c r="N45" i="9" s="1"/>
  <c r="O45" i="9" s="1"/>
  <c r="P45" i="9" s="1"/>
  <c r="Q45" i="9" s="1"/>
  <c r="R45" i="9" s="1"/>
  <c r="S45" i="9" s="1"/>
  <c r="T45" i="9" s="1"/>
  <c r="K43" i="9"/>
  <c r="L43" i="9" s="1"/>
  <c r="M43" i="9" s="1"/>
  <c r="N43" i="9" s="1"/>
  <c r="O43" i="9" s="1"/>
  <c r="P43" i="9" s="1"/>
  <c r="Q43" i="9" s="1"/>
  <c r="R43" i="9" s="1"/>
  <c r="S43" i="9" s="1"/>
  <c r="T43" i="9" s="1"/>
  <c r="K40" i="9"/>
  <c r="L40" i="9" s="1"/>
  <c r="M40" i="9" s="1"/>
  <c r="N40" i="9" s="1"/>
  <c r="O40" i="9" s="1"/>
  <c r="P40" i="9" s="1"/>
  <c r="Q40" i="9" s="1"/>
  <c r="R40" i="9" s="1"/>
  <c r="S40" i="9" s="1"/>
  <c r="T40" i="9" s="1"/>
  <c r="K38" i="9"/>
  <c r="L38" i="9" s="1"/>
  <c r="M38" i="9" s="1"/>
  <c r="N38" i="9" s="1"/>
  <c r="O38" i="9" s="1"/>
  <c r="P38" i="9" s="1"/>
  <c r="Q38" i="9" s="1"/>
  <c r="R38" i="9" s="1"/>
  <c r="S38" i="9" s="1"/>
  <c r="T38" i="9" s="1"/>
  <c r="C34" i="9"/>
  <c r="K33" i="9"/>
  <c r="L33" i="9" s="1"/>
  <c r="M33" i="9" s="1"/>
  <c r="N33" i="9" s="1"/>
  <c r="O33" i="9" s="1"/>
  <c r="P33" i="9" s="1"/>
  <c r="Q33" i="9" s="1"/>
  <c r="R33" i="9" s="1"/>
  <c r="S33" i="9" s="1"/>
  <c r="T33" i="9" s="1"/>
  <c r="C29" i="9"/>
  <c r="C27" i="9"/>
  <c r="W11" i="9"/>
  <c r="L18" i="9" l="1"/>
  <c r="M18" i="9" s="1"/>
  <c r="N18" i="9" s="1"/>
  <c r="O18" i="9" s="1"/>
  <c r="P18" i="9" s="1"/>
  <c r="Q18" i="9" s="1"/>
  <c r="R18" i="9" s="1"/>
  <c r="S18" i="9" s="1"/>
  <c r="T18" i="9" s="1"/>
  <c r="K65" i="4"/>
  <c r="K72" i="4" s="1"/>
  <c r="K73" i="4" s="1"/>
  <c r="K14" i="9" l="1"/>
  <c r="Q13" i="9"/>
  <c r="P13" i="9"/>
  <c r="O13" i="9"/>
  <c r="N13" i="9"/>
  <c r="M13" i="9"/>
  <c r="L13" i="9"/>
  <c r="H24" i="4"/>
  <c r="I24" i="4" s="1"/>
  <c r="T13" i="9"/>
  <c r="S13" i="9"/>
  <c r="R13" i="9"/>
  <c r="L69" i="4"/>
  <c r="L66" i="4"/>
  <c r="L127" i="4"/>
  <c r="K160" i="4"/>
  <c r="K164" i="3"/>
  <c r="K165" i="3"/>
  <c r="K142" i="4"/>
  <c r="K141" i="4"/>
  <c r="K133" i="4"/>
  <c r="U131" i="4"/>
  <c r="K129" i="4"/>
  <c r="K127" i="4"/>
  <c r="K117" i="4"/>
  <c r="I117" i="4"/>
  <c r="L132" i="3"/>
  <c r="L131" i="3" s="1"/>
  <c r="N21" i="3"/>
  <c r="O21" i="3" s="1"/>
  <c r="L38" i="3"/>
  <c r="K49" i="2"/>
  <c r="K147" i="3"/>
  <c r="L147" i="3" s="1"/>
  <c r="M147" i="3" s="1"/>
  <c r="N147" i="3" s="1"/>
  <c r="O147" i="3" s="1"/>
  <c r="P147" i="3" s="1"/>
  <c r="Q147" i="3" s="1"/>
  <c r="R147" i="3" s="1"/>
  <c r="S147" i="3" s="1"/>
  <c r="T147" i="3" s="1"/>
  <c r="K146" i="3"/>
  <c r="K138" i="3"/>
  <c r="K137" i="3" s="1"/>
  <c r="U136" i="3"/>
  <c r="K132" i="3"/>
  <c r="K131" i="3" s="1"/>
  <c r="K139" i="3" s="1"/>
  <c r="K136" i="3" s="1"/>
  <c r="K122" i="3"/>
  <c r="K124" i="3" s="1"/>
  <c r="I122" i="3"/>
  <c r="K102" i="3"/>
  <c r="L102" i="3" s="1"/>
  <c r="M102" i="3" s="1"/>
  <c r="N102" i="3" s="1"/>
  <c r="O102" i="3" s="1"/>
  <c r="P102" i="3" s="1"/>
  <c r="Q102" i="3" s="1"/>
  <c r="R102" i="3" s="1"/>
  <c r="S102" i="3" s="1"/>
  <c r="T102" i="3" s="1"/>
  <c r="C100" i="3"/>
  <c r="K94" i="3"/>
  <c r="L94" i="3" s="1"/>
  <c r="M94" i="3" s="1"/>
  <c r="N94" i="3" s="1"/>
  <c r="O94" i="3" s="1"/>
  <c r="P94" i="3" s="1"/>
  <c r="Q94" i="3" s="1"/>
  <c r="R94" i="3" s="1"/>
  <c r="S94" i="3" s="1"/>
  <c r="T94" i="3" s="1"/>
  <c r="K93" i="3"/>
  <c r="L93" i="3" s="1"/>
  <c r="M93" i="3" s="1"/>
  <c r="N93" i="3" s="1"/>
  <c r="O93" i="3" s="1"/>
  <c r="P93" i="3" s="1"/>
  <c r="Q93" i="3" s="1"/>
  <c r="R93" i="3" s="1"/>
  <c r="S93" i="3" s="1"/>
  <c r="T93" i="3" s="1"/>
  <c r="K89" i="3"/>
  <c r="L89" i="3" s="1"/>
  <c r="M89" i="3" s="1"/>
  <c r="N89" i="3" s="1"/>
  <c r="O89" i="3" s="1"/>
  <c r="P89" i="3" s="1"/>
  <c r="Q89" i="3" s="1"/>
  <c r="R89" i="3" s="1"/>
  <c r="S89" i="3" s="1"/>
  <c r="T89" i="3" s="1"/>
  <c r="K88" i="3"/>
  <c r="L88" i="3" s="1"/>
  <c r="M88" i="3" s="1"/>
  <c r="N88" i="3" s="1"/>
  <c r="O88" i="3" s="1"/>
  <c r="P88" i="3" s="1"/>
  <c r="Q88" i="3" s="1"/>
  <c r="R88" i="3" s="1"/>
  <c r="S88" i="3" s="1"/>
  <c r="T88" i="3" s="1"/>
  <c r="H85" i="3"/>
  <c r="K85" i="3" s="1"/>
  <c r="L85" i="3" s="1"/>
  <c r="M85" i="3" s="1"/>
  <c r="N85" i="3" s="1"/>
  <c r="O85" i="3" s="1"/>
  <c r="P85" i="3" s="1"/>
  <c r="Q85" i="3" s="1"/>
  <c r="R85" i="3" s="1"/>
  <c r="S85" i="3" s="1"/>
  <c r="T85" i="3" s="1"/>
  <c r="K84" i="3"/>
  <c r="L84" i="3" s="1"/>
  <c r="M84" i="3" s="1"/>
  <c r="N84" i="3" s="1"/>
  <c r="O84" i="3" s="1"/>
  <c r="P84" i="3" s="1"/>
  <c r="Q84" i="3" s="1"/>
  <c r="R84" i="3" s="1"/>
  <c r="S84" i="3" s="1"/>
  <c r="T84" i="3" s="1"/>
  <c r="K83" i="3"/>
  <c r="L83" i="3" s="1"/>
  <c r="M83" i="3" s="1"/>
  <c r="N83" i="3" s="1"/>
  <c r="O83" i="3" s="1"/>
  <c r="P83" i="3" s="1"/>
  <c r="Q83" i="3" s="1"/>
  <c r="R83" i="3" s="1"/>
  <c r="S83" i="3" s="1"/>
  <c r="T83" i="3" s="1"/>
  <c r="K82" i="3"/>
  <c r="L82" i="3" s="1"/>
  <c r="M82" i="3" s="1"/>
  <c r="N82" i="3" s="1"/>
  <c r="O82" i="3" s="1"/>
  <c r="P82" i="3" s="1"/>
  <c r="Q82" i="3" s="1"/>
  <c r="R82" i="3" s="1"/>
  <c r="S82" i="3" s="1"/>
  <c r="T82" i="3" s="1"/>
  <c r="K81" i="3"/>
  <c r="L81" i="3" s="1"/>
  <c r="M81" i="3" s="1"/>
  <c r="N81" i="3" s="1"/>
  <c r="O81" i="3" s="1"/>
  <c r="P81" i="3" s="1"/>
  <c r="Q81" i="3" s="1"/>
  <c r="R81" i="3" s="1"/>
  <c r="S81" i="3" s="1"/>
  <c r="T81" i="3" s="1"/>
  <c r="K78" i="3"/>
  <c r="L78" i="3" s="1"/>
  <c r="M78" i="3" s="1"/>
  <c r="N78" i="3" s="1"/>
  <c r="O78" i="3" s="1"/>
  <c r="P78" i="3" s="1"/>
  <c r="Q78" i="3" s="1"/>
  <c r="R78" i="3" s="1"/>
  <c r="S78" i="3" s="1"/>
  <c r="T78" i="3" s="1"/>
  <c r="K76" i="3"/>
  <c r="L76" i="3" s="1"/>
  <c r="M76" i="3" s="1"/>
  <c r="N76" i="3" s="1"/>
  <c r="O76" i="3" s="1"/>
  <c r="P76" i="3" s="1"/>
  <c r="Q76" i="3" s="1"/>
  <c r="R76" i="3" s="1"/>
  <c r="S76" i="3" s="1"/>
  <c r="T76" i="3" s="1"/>
  <c r="K72" i="3"/>
  <c r="L72" i="3" s="1"/>
  <c r="M72" i="3" s="1"/>
  <c r="N72" i="3" s="1"/>
  <c r="O72" i="3" s="1"/>
  <c r="P72" i="3" s="1"/>
  <c r="Q72" i="3" s="1"/>
  <c r="R72" i="3" s="1"/>
  <c r="S72" i="3" s="1"/>
  <c r="T72" i="3" s="1"/>
  <c r="K71" i="3"/>
  <c r="L71" i="3" s="1"/>
  <c r="M71" i="3" s="1"/>
  <c r="N71" i="3" s="1"/>
  <c r="O71" i="3" s="1"/>
  <c r="P71" i="3" s="1"/>
  <c r="Q71" i="3" s="1"/>
  <c r="R71" i="3" s="1"/>
  <c r="S71" i="3" s="1"/>
  <c r="T71" i="3" s="1"/>
  <c r="K68" i="3"/>
  <c r="L68" i="3" s="1"/>
  <c r="M68" i="3" s="1"/>
  <c r="N68" i="3" s="1"/>
  <c r="O68" i="3" s="1"/>
  <c r="P68" i="3" s="1"/>
  <c r="Q68" i="3" s="1"/>
  <c r="R68" i="3" s="1"/>
  <c r="S68" i="3" s="1"/>
  <c r="T68" i="3" s="1"/>
  <c r="K67" i="3"/>
  <c r="L67" i="3" s="1"/>
  <c r="M67" i="3" s="1"/>
  <c r="N67" i="3" s="1"/>
  <c r="O67" i="3" s="1"/>
  <c r="P67" i="3" s="1"/>
  <c r="Q67" i="3" s="1"/>
  <c r="R67" i="3" s="1"/>
  <c r="S67" i="3" s="1"/>
  <c r="T67" i="3" s="1"/>
  <c r="K65" i="3"/>
  <c r="L65" i="3" s="1"/>
  <c r="M65" i="3" s="1"/>
  <c r="H62" i="3"/>
  <c r="K92" i="3" s="1"/>
  <c r="L92" i="3" s="1"/>
  <c r="M92" i="3" s="1"/>
  <c r="N92" i="3" s="1"/>
  <c r="O92" i="3" s="1"/>
  <c r="P92" i="3" s="1"/>
  <c r="Q92" i="3" s="1"/>
  <c r="R92" i="3" s="1"/>
  <c r="S92" i="3" s="1"/>
  <c r="T92" i="3" s="1"/>
  <c r="M57" i="3"/>
  <c r="M56" i="3" s="1"/>
  <c r="L57" i="3"/>
  <c r="L56" i="3" s="1"/>
  <c r="K57" i="3"/>
  <c r="K51" i="3"/>
  <c r="L51" i="3" s="1"/>
  <c r="M51" i="3" s="1"/>
  <c r="N51" i="3" s="1"/>
  <c r="O51" i="3" s="1"/>
  <c r="P51" i="3" s="1"/>
  <c r="Q51" i="3" s="1"/>
  <c r="R51" i="3" s="1"/>
  <c r="S51" i="3" s="1"/>
  <c r="T51" i="3" s="1"/>
  <c r="K50" i="3"/>
  <c r="K77" i="3" s="1"/>
  <c r="L77" i="3" s="1"/>
  <c r="M77" i="3" s="1"/>
  <c r="N77" i="3" s="1"/>
  <c r="O77" i="3" s="1"/>
  <c r="P77" i="3" s="1"/>
  <c r="Q77" i="3" s="1"/>
  <c r="R77" i="3" s="1"/>
  <c r="S77" i="3" s="1"/>
  <c r="T77" i="3" s="1"/>
  <c r="K49" i="3"/>
  <c r="K114" i="3" s="1"/>
  <c r="L45" i="3"/>
  <c r="M45" i="3" s="1"/>
  <c r="N45" i="3" s="1"/>
  <c r="O45" i="3" s="1"/>
  <c r="P45" i="3" s="1"/>
  <c r="Q45" i="3" s="1"/>
  <c r="R45" i="3" s="1"/>
  <c r="S45" i="3" s="1"/>
  <c r="T45" i="3" s="1"/>
  <c r="L44" i="3"/>
  <c r="M44" i="3" s="1"/>
  <c r="N44" i="3" s="1"/>
  <c r="O44" i="3" s="1"/>
  <c r="P44" i="3" s="1"/>
  <c r="Q44" i="3" s="1"/>
  <c r="R44" i="3" s="1"/>
  <c r="S44" i="3" s="1"/>
  <c r="T44" i="3" s="1"/>
  <c r="L43" i="3"/>
  <c r="M43" i="3" s="1"/>
  <c r="N43" i="3" s="1"/>
  <c r="O43" i="3" s="1"/>
  <c r="P43" i="3" s="1"/>
  <c r="Q43" i="3" s="1"/>
  <c r="R43" i="3" s="1"/>
  <c r="S43" i="3" s="1"/>
  <c r="T43" i="3" s="1"/>
  <c r="L42" i="3"/>
  <c r="M42" i="3" s="1"/>
  <c r="N42" i="3" s="1"/>
  <c r="O42" i="3" s="1"/>
  <c r="P42" i="3" s="1"/>
  <c r="Q42" i="3" s="1"/>
  <c r="R42" i="3" s="1"/>
  <c r="S42" i="3" s="1"/>
  <c r="T42" i="3" s="1"/>
  <c r="L41" i="3"/>
  <c r="M41" i="3" s="1"/>
  <c r="N41" i="3" s="1"/>
  <c r="O41" i="3" s="1"/>
  <c r="P41" i="3" s="1"/>
  <c r="Q41" i="3" s="1"/>
  <c r="R41" i="3" s="1"/>
  <c r="S41" i="3" s="1"/>
  <c r="T41" i="3" s="1"/>
  <c r="L40" i="3"/>
  <c r="M40" i="3" s="1"/>
  <c r="N40" i="3" s="1"/>
  <c r="O40" i="3" s="1"/>
  <c r="P40" i="3" s="1"/>
  <c r="Q40" i="3" s="1"/>
  <c r="R40" i="3" s="1"/>
  <c r="S40" i="3" s="1"/>
  <c r="T40" i="3" s="1"/>
  <c r="L39" i="3"/>
  <c r="M39" i="3" s="1"/>
  <c r="N39" i="3" s="1"/>
  <c r="O39" i="3" s="1"/>
  <c r="P39" i="3" s="1"/>
  <c r="Q39" i="3" s="1"/>
  <c r="R39" i="3" s="1"/>
  <c r="S39" i="3" s="1"/>
  <c r="T39" i="3" s="1"/>
  <c r="K37" i="3"/>
  <c r="K48" i="3" s="1"/>
  <c r="W34" i="3"/>
  <c r="N19" i="3"/>
  <c r="O19" i="3" s="1"/>
  <c r="P19" i="3" s="1"/>
  <c r="Q19" i="3" s="1"/>
  <c r="R19" i="3" s="1"/>
  <c r="S19" i="3" s="1"/>
  <c r="T19" i="3" s="1"/>
  <c r="K14" i="3"/>
  <c r="I14" i="3"/>
  <c r="K13" i="3"/>
  <c r="I13" i="3"/>
  <c r="K12" i="3"/>
  <c r="I12" i="3"/>
  <c r="K11" i="3"/>
  <c r="I11" i="3"/>
  <c r="K10" i="3"/>
  <c r="I10" i="3"/>
  <c r="K9" i="3"/>
  <c r="I9" i="3"/>
  <c r="K8" i="3"/>
  <c r="I8" i="3"/>
  <c r="K7" i="3"/>
  <c r="I7" i="3"/>
  <c r="K6" i="3"/>
  <c r="I6" i="3"/>
  <c r="U136" i="2"/>
  <c r="K138" i="2"/>
  <c r="L138" i="2" s="1"/>
  <c r="M138" i="2" s="1"/>
  <c r="N138" i="2" s="1"/>
  <c r="O138" i="2" s="1"/>
  <c r="P138" i="2" s="1"/>
  <c r="Q138" i="2" s="1"/>
  <c r="R138" i="2" s="1"/>
  <c r="S138" i="2" s="1"/>
  <c r="T138" i="2" s="1"/>
  <c r="K122" i="2"/>
  <c r="K124" i="2" s="1"/>
  <c r="I122" i="2"/>
  <c r="I14" i="2"/>
  <c r="I13" i="2"/>
  <c r="I12" i="2"/>
  <c r="I11" i="2"/>
  <c r="I10" i="2"/>
  <c r="I9" i="2"/>
  <c r="I8" i="2"/>
  <c r="I7" i="2"/>
  <c r="I6" i="2"/>
  <c r="K132" i="2"/>
  <c r="L132" i="2" s="1"/>
  <c r="M132" i="2" s="1"/>
  <c r="K147" i="2"/>
  <c r="L147" i="2" s="1"/>
  <c r="M147" i="2" s="1"/>
  <c r="N147" i="2" s="1"/>
  <c r="O147" i="2" s="1"/>
  <c r="P147" i="2" s="1"/>
  <c r="Q147" i="2" s="1"/>
  <c r="R147" i="2" s="1"/>
  <c r="S147" i="2" s="1"/>
  <c r="T147" i="2" s="1"/>
  <c r="K146" i="2"/>
  <c r="K51" i="2"/>
  <c r="L24" i="4" l="1"/>
  <c r="M24" i="4"/>
  <c r="N24" i="4"/>
  <c r="O24" i="4"/>
  <c r="P24" i="4"/>
  <c r="Q24" i="4"/>
  <c r="R24" i="4"/>
  <c r="S24" i="4"/>
  <c r="T24" i="4"/>
  <c r="K24" i="4"/>
  <c r="K74" i="4"/>
  <c r="K75" i="4"/>
  <c r="L65" i="4"/>
  <c r="L75" i="4"/>
  <c r="K13" i="9"/>
  <c r="L141" i="4"/>
  <c r="K174" i="4"/>
  <c r="K119" i="4"/>
  <c r="K137" i="2"/>
  <c r="K126" i="4"/>
  <c r="K134" i="4" s="1"/>
  <c r="M69" i="4"/>
  <c r="K35" i="4"/>
  <c r="M66" i="4"/>
  <c r="K58" i="3"/>
  <c r="L142" i="4"/>
  <c r="K132" i="4"/>
  <c r="L133" i="4"/>
  <c r="L126" i="4"/>
  <c r="M127" i="4"/>
  <c r="L50" i="3"/>
  <c r="M50" i="3" s="1"/>
  <c r="N50" i="3" s="1"/>
  <c r="O50" i="3" s="1"/>
  <c r="P50" i="3" s="1"/>
  <c r="Q50" i="3" s="1"/>
  <c r="R50" i="3" s="1"/>
  <c r="S50" i="3" s="1"/>
  <c r="T50" i="3" s="1"/>
  <c r="K99" i="3"/>
  <c r="L99" i="3" s="1"/>
  <c r="M99" i="3" s="1"/>
  <c r="N99" i="3" s="1"/>
  <c r="O99" i="3" s="1"/>
  <c r="P99" i="3" s="1"/>
  <c r="Q99" i="3" s="1"/>
  <c r="R99" i="3" s="1"/>
  <c r="S99" i="3" s="1"/>
  <c r="T99" i="3" s="1"/>
  <c r="L37" i="3"/>
  <c r="L48" i="3" s="1"/>
  <c r="K91" i="3"/>
  <c r="K90" i="3" s="1"/>
  <c r="L90" i="3" s="1"/>
  <c r="M90" i="3" s="1"/>
  <c r="N90" i="3" s="1"/>
  <c r="O90" i="3" s="1"/>
  <c r="P90" i="3" s="1"/>
  <c r="Q90" i="3" s="1"/>
  <c r="R90" i="3" s="1"/>
  <c r="S90" i="3" s="1"/>
  <c r="T90" i="3" s="1"/>
  <c r="K16" i="3"/>
  <c r="H53" i="3" s="1"/>
  <c r="K53" i="3" s="1"/>
  <c r="K56" i="3" s="1"/>
  <c r="N57" i="3"/>
  <c r="N56" i="3" s="1"/>
  <c r="K97" i="3"/>
  <c r="L97" i="3" s="1"/>
  <c r="M97" i="3" s="1"/>
  <c r="N97" i="3" s="1"/>
  <c r="O97" i="3" s="1"/>
  <c r="P97" i="3" s="1"/>
  <c r="Q97" i="3" s="1"/>
  <c r="R97" i="3" s="1"/>
  <c r="S97" i="3" s="1"/>
  <c r="T97" i="3" s="1"/>
  <c r="L49" i="3"/>
  <c r="K80" i="3"/>
  <c r="L80" i="3" s="1"/>
  <c r="M80" i="3" s="1"/>
  <c r="N80" i="3" s="1"/>
  <c r="O80" i="3" s="1"/>
  <c r="P80" i="3" s="1"/>
  <c r="Q80" i="3" s="1"/>
  <c r="R80" i="3" s="1"/>
  <c r="S80" i="3" s="1"/>
  <c r="T80" i="3" s="1"/>
  <c r="K148" i="3"/>
  <c r="K145" i="3" s="1"/>
  <c r="O57" i="3"/>
  <c r="P21" i="3"/>
  <c r="K134" i="3"/>
  <c r="K73" i="3"/>
  <c r="L138" i="3"/>
  <c r="M138" i="3" s="1"/>
  <c r="N138" i="3" s="1"/>
  <c r="O138" i="3" s="1"/>
  <c r="P138" i="3" s="1"/>
  <c r="Q138" i="3" s="1"/>
  <c r="R138" i="3" s="1"/>
  <c r="S138" i="3" s="1"/>
  <c r="T138" i="3" s="1"/>
  <c r="K96" i="3"/>
  <c r="K47" i="3"/>
  <c r="M38" i="3"/>
  <c r="N65" i="3"/>
  <c r="K69" i="3"/>
  <c r="L69" i="3" s="1"/>
  <c r="M69" i="3" s="1"/>
  <c r="N69" i="3" s="1"/>
  <c r="O69" i="3" s="1"/>
  <c r="P69" i="3" s="1"/>
  <c r="Q69" i="3" s="1"/>
  <c r="R69" i="3" s="1"/>
  <c r="S69" i="3" s="1"/>
  <c r="T69" i="3" s="1"/>
  <c r="K100" i="3"/>
  <c r="L100" i="3" s="1"/>
  <c r="M100" i="3" s="1"/>
  <c r="N100" i="3" s="1"/>
  <c r="O100" i="3" s="1"/>
  <c r="P100" i="3" s="1"/>
  <c r="Q100" i="3" s="1"/>
  <c r="R100" i="3" s="1"/>
  <c r="S100" i="3" s="1"/>
  <c r="T100" i="3" s="1"/>
  <c r="L146" i="3"/>
  <c r="M146" i="3" s="1"/>
  <c r="N146" i="3" s="1"/>
  <c r="O146" i="3" s="1"/>
  <c r="P146" i="3" s="1"/>
  <c r="Q146" i="3" s="1"/>
  <c r="R146" i="3" s="1"/>
  <c r="S146" i="3" s="1"/>
  <c r="T146" i="3" s="1"/>
  <c r="K131" i="2"/>
  <c r="K148" i="2" s="1"/>
  <c r="M131" i="2"/>
  <c r="M148" i="2" s="1"/>
  <c r="N132" i="2"/>
  <c r="L131" i="2"/>
  <c r="L148" i="2" s="1"/>
  <c r="L146" i="2"/>
  <c r="M146" i="2" s="1"/>
  <c r="N146" i="2" s="1"/>
  <c r="O146" i="2" s="1"/>
  <c r="P146" i="2" s="1"/>
  <c r="Q146" i="2" s="1"/>
  <c r="R146" i="2" s="1"/>
  <c r="S146" i="2" s="1"/>
  <c r="T146" i="2" s="1"/>
  <c r="T186" i="4" l="1"/>
  <c r="T26" i="4"/>
  <c r="S186" i="4"/>
  <c r="S26" i="4"/>
  <c r="K186" i="4"/>
  <c r="K26" i="4"/>
  <c r="R186" i="4"/>
  <c r="R26" i="4"/>
  <c r="Q186" i="4"/>
  <c r="Q26" i="4"/>
  <c r="P186" i="4"/>
  <c r="P26" i="4"/>
  <c r="O186" i="4"/>
  <c r="O26" i="4"/>
  <c r="N186" i="4"/>
  <c r="N26" i="4"/>
  <c r="M186" i="4"/>
  <c r="M26" i="4"/>
  <c r="L186" i="4"/>
  <c r="L26" i="4"/>
  <c r="L74" i="4"/>
  <c r="L72" i="4"/>
  <c r="L73" i="4" s="1"/>
  <c r="E30" i="9"/>
  <c r="K30" i="9" s="1"/>
  <c r="L30" i="9" s="1"/>
  <c r="M30" i="9" s="1"/>
  <c r="N30" i="9" s="1"/>
  <c r="O30" i="9" s="1"/>
  <c r="P30" i="9" s="1"/>
  <c r="Q30" i="9" s="1"/>
  <c r="R30" i="9" s="1"/>
  <c r="S30" i="9" s="1"/>
  <c r="T30" i="9" s="1"/>
  <c r="K17" i="9"/>
  <c r="K58" i="9" s="1"/>
  <c r="K16" i="9"/>
  <c r="H46" i="9"/>
  <c r="K46" i="9" s="1"/>
  <c r="L46" i="9" s="1"/>
  <c r="M46" i="9" s="1"/>
  <c r="N46" i="9" s="1"/>
  <c r="O46" i="9" s="1"/>
  <c r="P46" i="9" s="1"/>
  <c r="Q46" i="9" s="1"/>
  <c r="R46" i="9" s="1"/>
  <c r="S46" i="9" s="1"/>
  <c r="T46" i="9" s="1"/>
  <c r="L14" i="9"/>
  <c r="H44" i="9"/>
  <c r="K44" i="9" s="1"/>
  <c r="L44" i="9" s="1"/>
  <c r="M44" i="9" s="1"/>
  <c r="N44" i="9" s="1"/>
  <c r="O44" i="9" s="1"/>
  <c r="P44" i="9" s="1"/>
  <c r="Q44" i="9" s="1"/>
  <c r="R44" i="9" s="1"/>
  <c r="S44" i="9" s="1"/>
  <c r="T44" i="9" s="1"/>
  <c r="H24" i="9"/>
  <c r="K53" i="9" s="1"/>
  <c r="H47" i="9"/>
  <c r="K47" i="9" s="1"/>
  <c r="L47" i="9" s="1"/>
  <c r="M47" i="9" s="1"/>
  <c r="N47" i="9" s="1"/>
  <c r="O47" i="9" s="1"/>
  <c r="P47" i="9" s="1"/>
  <c r="Q47" i="9" s="1"/>
  <c r="R47" i="9" s="1"/>
  <c r="S47" i="9" s="1"/>
  <c r="T47" i="9" s="1"/>
  <c r="M65" i="4"/>
  <c r="M75" i="4"/>
  <c r="K56" i="9"/>
  <c r="L56" i="9" s="1"/>
  <c r="M56" i="9" s="1"/>
  <c r="N56" i="9" s="1"/>
  <c r="O56" i="9" s="1"/>
  <c r="P56" i="9" s="1"/>
  <c r="Q56" i="9" s="1"/>
  <c r="R56" i="9" s="1"/>
  <c r="S56" i="9" s="1"/>
  <c r="T56" i="9" s="1"/>
  <c r="K29" i="9"/>
  <c r="L29" i="9" s="1"/>
  <c r="M29" i="9" s="1"/>
  <c r="N29" i="9" s="1"/>
  <c r="O29" i="9" s="1"/>
  <c r="P29" i="9" s="1"/>
  <c r="Q29" i="9" s="1"/>
  <c r="R29" i="9" s="1"/>
  <c r="S29" i="9" s="1"/>
  <c r="T29" i="9" s="1"/>
  <c r="K34" i="9"/>
  <c r="L34" i="9" s="1"/>
  <c r="M34" i="9" s="1"/>
  <c r="N34" i="9" s="1"/>
  <c r="O34" i="9" s="1"/>
  <c r="P34" i="9" s="1"/>
  <c r="Q34" i="9" s="1"/>
  <c r="R34" i="9" s="1"/>
  <c r="S34" i="9" s="1"/>
  <c r="T34" i="9" s="1"/>
  <c r="K27" i="9"/>
  <c r="L27" i="9" s="1"/>
  <c r="M27" i="9" s="1"/>
  <c r="L174" i="4"/>
  <c r="M141" i="4"/>
  <c r="M142" i="4"/>
  <c r="K143" i="4"/>
  <c r="N69" i="4"/>
  <c r="K71" i="4"/>
  <c r="K86" i="4" s="1"/>
  <c r="K84" i="4"/>
  <c r="K176" i="4" s="1"/>
  <c r="N66" i="4"/>
  <c r="K131" i="4"/>
  <c r="K177" i="4"/>
  <c r="K152" i="3"/>
  <c r="K154" i="3" s="1"/>
  <c r="M133" i="4"/>
  <c r="N127" i="4"/>
  <c r="M126" i="4"/>
  <c r="L143" i="4"/>
  <c r="L134" i="4"/>
  <c r="L47" i="3"/>
  <c r="L109" i="3" s="1"/>
  <c r="L58" i="3"/>
  <c r="L55" i="3" s="1"/>
  <c r="L91" i="3"/>
  <c r="L114" i="3"/>
  <c r="M49" i="3"/>
  <c r="L145" i="3"/>
  <c r="K86" i="3"/>
  <c r="K87" i="3"/>
  <c r="L87" i="3" s="1"/>
  <c r="M87" i="3" s="1"/>
  <c r="N87" i="3" s="1"/>
  <c r="O87" i="3" s="1"/>
  <c r="P87" i="3" s="1"/>
  <c r="Q87" i="3" s="1"/>
  <c r="R87" i="3" s="1"/>
  <c r="S87" i="3" s="1"/>
  <c r="T87" i="3" s="1"/>
  <c r="K75" i="3"/>
  <c r="K22" i="3"/>
  <c r="K55" i="3"/>
  <c r="K103" i="3"/>
  <c r="O56" i="3"/>
  <c r="K95" i="3"/>
  <c r="L95" i="3" s="1"/>
  <c r="M95" i="3" s="1"/>
  <c r="N95" i="3" s="1"/>
  <c r="O95" i="3" s="1"/>
  <c r="P95" i="3" s="1"/>
  <c r="Q95" i="3" s="1"/>
  <c r="R95" i="3" s="1"/>
  <c r="S95" i="3" s="1"/>
  <c r="T95" i="3" s="1"/>
  <c r="L96" i="3"/>
  <c r="M96" i="3" s="1"/>
  <c r="N96" i="3" s="1"/>
  <c r="O96" i="3" s="1"/>
  <c r="P96" i="3" s="1"/>
  <c r="Q96" i="3" s="1"/>
  <c r="R96" i="3" s="1"/>
  <c r="S96" i="3" s="1"/>
  <c r="T96" i="3" s="1"/>
  <c r="K70" i="3"/>
  <c r="L70" i="3" s="1"/>
  <c r="M70" i="3" s="1"/>
  <c r="N70" i="3" s="1"/>
  <c r="O70" i="3" s="1"/>
  <c r="P70" i="3" s="1"/>
  <c r="Q70" i="3" s="1"/>
  <c r="R70" i="3" s="1"/>
  <c r="S70" i="3" s="1"/>
  <c r="T70" i="3" s="1"/>
  <c r="L73" i="3"/>
  <c r="M73" i="3" s="1"/>
  <c r="N73" i="3" s="1"/>
  <c r="O73" i="3" s="1"/>
  <c r="P73" i="3" s="1"/>
  <c r="Q73" i="3" s="1"/>
  <c r="R73" i="3" s="1"/>
  <c r="S73" i="3" s="1"/>
  <c r="T73" i="3" s="1"/>
  <c r="K98" i="3"/>
  <c r="L98" i="3" s="1"/>
  <c r="M98" i="3" s="1"/>
  <c r="N98" i="3" s="1"/>
  <c r="O98" i="3" s="1"/>
  <c r="P98" i="3" s="1"/>
  <c r="Q98" i="3" s="1"/>
  <c r="R98" i="3" s="1"/>
  <c r="S98" i="3" s="1"/>
  <c r="T98" i="3" s="1"/>
  <c r="O65" i="3"/>
  <c r="K66" i="3"/>
  <c r="Q21" i="3"/>
  <c r="P57" i="3"/>
  <c r="M37" i="3"/>
  <c r="N38" i="3"/>
  <c r="L139" i="3"/>
  <c r="L136" i="3" s="1"/>
  <c r="M132" i="3"/>
  <c r="L137" i="2"/>
  <c r="L136" i="2" s="1"/>
  <c r="N131" i="2"/>
  <c r="N148" i="2" s="1"/>
  <c r="O132" i="2"/>
  <c r="K6" i="2"/>
  <c r="N21" i="2"/>
  <c r="O21" i="2" s="1"/>
  <c r="P21" i="2" s="1"/>
  <c r="Q21" i="2" s="1"/>
  <c r="R21" i="2" s="1"/>
  <c r="S21" i="2" s="1"/>
  <c r="T21" i="2" s="1"/>
  <c r="K7" i="2"/>
  <c r="M74" i="4" l="1"/>
  <c r="M72" i="4"/>
  <c r="M73" i="4" s="1"/>
  <c r="L35" i="4"/>
  <c r="L83" i="4" s="1"/>
  <c r="L36" i="4" s="1"/>
  <c r="L16" i="9"/>
  <c r="L17" i="9"/>
  <c r="K187" i="4"/>
  <c r="K188" i="4" s="1"/>
  <c r="K190" i="4"/>
  <c r="K31" i="9"/>
  <c r="L31" i="9" s="1"/>
  <c r="M31" i="9" s="1"/>
  <c r="N31" i="9" s="1"/>
  <c r="O31" i="9" s="1"/>
  <c r="P31" i="9" s="1"/>
  <c r="Q31" i="9" s="1"/>
  <c r="R31" i="9" s="1"/>
  <c r="S31" i="9" s="1"/>
  <c r="T31" i="9" s="1"/>
  <c r="K59" i="9"/>
  <c r="L59" i="9" s="1"/>
  <c r="M59" i="9" s="1"/>
  <c r="N59" i="9" s="1"/>
  <c r="O59" i="9" s="1"/>
  <c r="P59" i="9" s="1"/>
  <c r="Q59" i="9" s="1"/>
  <c r="R59" i="9" s="1"/>
  <c r="S59" i="9" s="1"/>
  <c r="T59" i="9" s="1"/>
  <c r="K42" i="9"/>
  <c r="L42" i="9" s="1"/>
  <c r="M42" i="9" s="1"/>
  <c r="N42" i="9" s="1"/>
  <c r="O42" i="9" s="1"/>
  <c r="P42" i="9" s="1"/>
  <c r="Q42" i="9" s="1"/>
  <c r="R42" i="9" s="1"/>
  <c r="S42" i="9" s="1"/>
  <c r="T42" i="9" s="1"/>
  <c r="K54" i="9"/>
  <c r="L54" i="9" s="1"/>
  <c r="M54" i="9" s="1"/>
  <c r="N54" i="9" s="1"/>
  <c r="O54" i="9" s="1"/>
  <c r="P54" i="9" s="1"/>
  <c r="Q54" i="9" s="1"/>
  <c r="R54" i="9" s="1"/>
  <c r="S54" i="9" s="1"/>
  <c r="T54" i="9" s="1"/>
  <c r="M14" i="9"/>
  <c r="K35" i="9"/>
  <c r="L35" i="9" s="1"/>
  <c r="M35" i="9" s="1"/>
  <c r="N35" i="9" s="1"/>
  <c r="O35" i="9" s="1"/>
  <c r="P35" i="9" s="1"/>
  <c r="Q35" i="9" s="1"/>
  <c r="R35" i="9" s="1"/>
  <c r="S35" i="9" s="1"/>
  <c r="T35" i="9" s="1"/>
  <c r="N65" i="4"/>
  <c r="N75" i="4"/>
  <c r="K93" i="4"/>
  <c r="K61" i="9"/>
  <c r="L61" i="9" s="1"/>
  <c r="M61" i="9" s="1"/>
  <c r="N61" i="9" s="1"/>
  <c r="O61" i="9" s="1"/>
  <c r="P61" i="9" s="1"/>
  <c r="Q61" i="9" s="1"/>
  <c r="R61" i="9" s="1"/>
  <c r="S61" i="9" s="1"/>
  <c r="T61" i="9" s="1"/>
  <c r="K15" i="9"/>
  <c r="K65" i="9" s="1"/>
  <c r="H50" i="9"/>
  <c r="K50" i="9" s="1"/>
  <c r="L50" i="9" s="1"/>
  <c r="M50" i="9" s="1"/>
  <c r="N50" i="9" s="1"/>
  <c r="O50" i="9" s="1"/>
  <c r="P50" i="9" s="1"/>
  <c r="Q50" i="9" s="1"/>
  <c r="R50" i="9" s="1"/>
  <c r="S50" i="9" s="1"/>
  <c r="T50" i="9" s="1"/>
  <c r="K62" i="9"/>
  <c r="L62" i="9" s="1"/>
  <c r="M62" i="9" s="1"/>
  <c r="N62" i="9" s="1"/>
  <c r="O62" i="9" s="1"/>
  <c r="P62" i="9" s="1"/>
  <c r="Q62" i="9" s="1"/>
  <c r="R62" i="9" s="1"/>
  <c r="S62" i="9" s="1"/>
  <c r="T62" i="9" s="1"/>
  <c r="L53" i="9"/>
  <c r="M53" i="9" s="1"/>
  <c r="N53" i="9" s="1"/>
  <c r="O53" i="9" s="1"/>
  <c r="P53" i="9" s="1"/>
  <c r="Q53" i="9" s="1"/>
  <c r="R53" i="9" s="1"/>
  <c r="S53" i="9" s="1"/>
  <c r="T53" i="9" s="1"/>
  <c r="K57" i="9"/>
  <c r="L57" i="9" s="1"/>
  <c r="M57" i="9" s="1"/>
  <c r="N57" i="9" s="1"/>
  <c r="O57" i="9" s="1"/>
  <c r="P57" i="9" s="1"/>
  <c r="Q57" i="9" s="1"/>
  <c r="R57" i="9" s="1"/>
  <c r="S57" i="9" s="1"/>
  <c r="T57" i="9" s="1"/>
  <c r="L58" i="9"/>
  <c r="M58" i="9" s="1"/>
  <c r="N58" i="9" s="1"/>
  <c r="O58" i="9" s="1"/>
  <c r="P58" i="9" s="1"/>
  <c r="Q58" i="9" s="1"/>
  <c r="R58" i="9" s="1"/>
  <c r="S58" i="9" s="1"/>
  <c r="T58" i="9" s="1"/>
  <c r="N27" i="9"/>
  <c r="K171" i="4"/>
  <c r="K140" i="4"/>
  <c r="N141" i="4"/>
  <c r="N142" i="4"/>
  <c r="M174" i="4"/>
  <c r="O69" i="4"/>
  <c r="L84" i="4"/>
  <c r="O66" i="4"/>
  <c r="L131" i="4"/>
  <c r="L177" i="4"/>
  <c r="M145" i="3"/>
  <c r="L152" i="3"/>
  <c r="L154" i="3" s="1"/>
  <c r="O127" i="4"/>
  <c r="N126" i="4"/>
  <c r="L132" i="4"/>
  <c r="N133" i="4"/>
  <c r="M143" i="4"/>
  <c r="M134" i="4"/>
  <c r="L71" i="4"/>
  <c r="L86" i="4" s="1"/>
  <c r="M91" i="3"/>
  <c r="N91" i="3" s="1"/>
  <c r="L137" i="3"/>
  <c r="L22" i="3"/>
  <c r="M114" i="3"/>
  <c r="N49" i="3"/>
  <c r="L75" i="3"/>
  <c r="M75" i="3" s="1"/>
  <c r="N75" i="3" s="1"/>
  <c r="O75" i="3" s="1"/>
  <c r="P75" i="3" s="1"/>
  <c r="Q75" i="3" s="1"/>
  <c r="R75" i="3" s="1"/>
  <c r="S75" i="3" s="1"/>
  <c r="T75" i="3" s="1"/>
  <c r="K74" i="3"/>
  <c r="L74" i="3" s="1"/>
  <c r="M74" i="3" s="1"/>
  <c r="N74" i="3" s="1"/>
  <c r="O74" i="3" s="1"/>
  <c r="P74" i="3" s="1"/>
  <c r="Q74" i="3" s="1"/>
  <c r="R74" i="3" s="1"/>
  <c r="S74" i="3" s="1"/>
  <c r="T74" i="3" s="1"/>
  <c r="L86" i="3"/>
  <c r="M86" i="3" s="1"/>
  <c r="N86" i="3" s="1"/>
  <c r="O86" i="3" s="1"/>
  <c r="P86" i="3" s="1"/>
  <c r="Q86" i="3" s="1"/>
  <c r="R86" i="3" s="1"/>
  <c r="S86" i="3" s="1"/>
  <c r="T86" i="3" s="1"/>
  <c r="K79" i="3"/>
  <c r="L79" i="3" s="1"/>
  <c r="M79" i="3" s="1"/>
  <c r="N79" i="3" s="1"/>
  <c r="O79" i="3" s="1"/>
  <c r="P79" i="3" s="1"/>
  <c r="Q79" i="3" s="1"/>
  <c r="R79" i="3" s="1"/>
  <c r="S79" i="3" s="1"/>
  <c r="T79" i="3" s="1"/>
  <c r="L66" i="3"/>
  <c r="L148" i="3"/>
  <c r="N37" i="3"/>
  <c r="N48" i="3" s="1"/>
  <c r="O38" i="3"/>
  <c r="P56" i="3"/>
  <c r="R21" i="3"/>
  <c r="Q57" i="3"/>
  <c r="P65" i="3"/>
  <c r="M131" i="3"/>
  <c r="M139" i="3" s="1"/>
  <c r="M136" i="3" s="1"/>
  <c r="N132" i="3"/>
  <c r="M48" i="3"/>
  <c r="K101" i="3"/>
  <c r="L101" i="3" s="1"/>
  <c r="M101" i="3" s="1"/>
  <c r="N101" i="3" s="1"/>
  <c r="O101" i="3" s="1"/>
  <c r="P101" i="3" s="1"/>
  <c r="Q101" i="3" s="1"/>
  <c r="R101" i="3" s="1"/>
  <c r="S101" i="3" s="1"/>
  <c r="T101" i="3" s="1"/>
  <c r="L103" i="3"/>
  <c r="M103" i="3" s="1"/>
  <c r="N103" i="3" s="1"/>
  <c r="O103" i="3" s="1"/>
  <c r="P103" i="3" s="1"/>
  <c r="Q103" i="3" s="1"/>
  <c r="R103" i="3" s="1"/>
  <c r="S103" i="3" s="1"/>
  <c r="T103" i="3" s="1"/>
  <c r="M137" i="2"/>
  <c r="M136" i="2" s="1"/>
  <c r="P132" i="2"/>
  <c r="O131" i="2"/>
  <c r="O148" i="2" s="1"/>
  <c r="K57" i="2"/>
  <c r="L38" i="2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K93" i="2"/>
  <c r="L93" i="2" s="1"/>
  <c r="M93" i="2" s="1"/>
  <c r="N93" i="2" s="1"/>
  <c r="O93" i="2" s="1"/>
  <c r="P93" i="2" s="1"/>
  <c r="Q93" i="2" s="1"/>
  <c r="R93" i="2" s="1"/>
  <c r="S93" i="2" s="1"/>
  <c r="T93" i="2" s="1"/>
  <c r="K89" i="2"/>
  <c r="L89" i="2" s="1"/>
  <c r="M89" i="2" s="1"/>
  <c r="N89" i="2" s="1"/>
  <c r="O89" i="2" s="1"/>
  <c r="P89" i="2" s="1"/>
  <c r="Q89" i="2" s="1"/>
  <c r="R89" i="2" s="1"/>
  <c r="S89" i="2" s="1"/>
  <c r="T89" i="2" s="1"/>
  <c r="K88" i="2"/>
  <c r="L88" i="2" s="1"/>
  <c r="M88" i="2" s="1"/>
  <c r="N88" i="2" s="1"/>
  <c r="O88" i="2" s="1"/>
  <c r="P88" i="2" s="1"/>
  <c r="Q88" i="2" s="1"/>
  <c r="R88" i="2" s="1"/>
  <c r="S88" i="2" s="1"/>
  <c r="T88" i="2" s="1"/>
  <c r="K84" i="2"/>
  <c r="L84" i="2" s="1"/>
  <c r="M84" i="2" s="1"/>
  <c r="N84" i="2" s="1"/>
  <c r="O84" i="2" s="1"/>
  <c r="P84" i="2" s="1"/>
  <c r="Q84" i="2" s="1"/>
  <c r="R84" i="2" s="1"/>
  <c r="S84" i="2" s="1"/>
  <c r="T84" i="2" s="1"/>
  <c r="K83" i="2"/>
  <c r="L83" i="2" s="1"/>
  <c r="M83" i="2" s="1"/>
  <c r="N83" i="2" s="1"/>
  <c r="O83" i="2" s="1"/>
  <c r="P83" i="2" s="1"/>
  <c r="Q83" i="2" s="1"/>
  <c r="R83" i="2" s="1"/>
  <c r="S83" i="2" s="1"/>
  <c r="T83" i="2" s="1"/>
  <c r="K82" i="2"/>
  <c r="L82" i="2" s="1"/>
  <c r="M82" i="2" s="1"/>
  <c r="N82" i="2" s="1"/>
  <c r="O82" i="2" s="1"/>
  <c r="P82" i="2" s="1"/>
  <c r="Q82" i="2" s="1"/>
  <c r="R82" i="2" s="1"/>
  <c r="S82" i="2" s="1"/>
  <c r="T82" i="2" s="1"/>
  <c r="K81" i="2"/>
  <c r="L81" i="2" s="1"/>
  <c r="M81" i="2" s="1"/>
  <c r="N81" i="2" s="1"/>
  <c r="O81" i="2" s="1"/>
  <c r="P81" i="2" s="1"/>
  <c r="Q81" i="2" s="1"/>
  <c r="R81" i="2" s="1"/>
  <c r="S81" i="2" s="1"/>
  <c r="T81" i="2" s="1"/>
  <c r="K78" i="2"/>
  <c r="L78" i="2" s="1"/>
  <c r="M78" i="2" s="1"/>
  <c r="N78" i="2" s="1"/>
  <c r="O78" i="2" s="1"/>
  <c r="P78" i="2" s="1"/>
  <c r="Q78" i="2" s="1"/>
  <c r="R78" i="2" s="1"/>
  <c r="S78" i="2" s="1"/>
  <c r="T78" i="2" s="1"/>
  <c r="K71" i="2"/>
  <c r="L71" i="2" s="1"/>
  <c r="M71" i="2" s="1"/>
  <c r="N71" i="2" s="1"/>
  <c r="O71" i="2" s="1"/>
  <c r="P71" i="2" s="1"/>
  <c r="Q71" i="2" s="1"/>
  <c r="R71" i="2" s="1"/>
  <c r="S71" i="2" s="1"/>
  <c r="T71" i="2" s="1"/>
  <c r="K68" i="2"/>
  <c r="L68" i="2" s="1"/>
  <c r="M68" i="2" s="1"/>
  <c r="N68" i="2" s="1"/>
  <c r="O68" i="2" s="1"/>
  <c r="P68" i="2" s="1"/>
  <c r="Q68" i="2" s="1"/>
  <c r="R68" i="2" s="1"/>
  <c r="S68" i="2" s="1"/>
  <c r="T68" i="2" s="1"/>
  <c r="K94" i="2"/>
  <c r="L94" i="2" s="1"/>
  <c r="M94" i="2" s="1"/>
  <c r="N94" i="2" s="1"/>
  <c r="O94" i="2" s="1"/>
  <c r="P94" i="2" s="1"/>
  <c r="Q94" i="2" s="1"/>
  <c r="R94" i="2" s="1"/>
  <c r="S94" i="2" s="1"/>
  <c r="T94" i="2" s="1"/>
  <c r="K76" i="2"/>
  <c r="L76" i="2" s="1"/>
  <c r="M76" i="2" s="1"/>
  <c r="N76" i="2" s="1"/>
  <c r="O76" i="2" s="1"/>
  <c r="P76" i="2" s="1"/>
  <c r="Q76" i="2" s="1"/>
  <c r="R76" i="2" s="1"/>
  <c r="S76" i="2" s="1"/>
  <c r="T76" i="2" s="1"/>
  <c r="K72" i="2"/>
  <c r="L72" i="2" s="1"/>
  <c r="M72" i="2" s="1"/>
  <c r="N72" i="2" s="1"/>
  <c r="O72" i="2" s="1"/>
  <c r="P72" i="2" s="1"/>
  <c r="Q72" i="2" s="1"/>
  <c r="R72" i="2" s="1"/>
  <c r="S72" i="2" s="1"/>
  <c r="T72" i="2" s="1"/>
  <c r="K67" i="2"/>
  <c r="L67" i="2" s="1"/>
  <c r="M67" i="2" s="1"/>
  <c r="N67" i="2" s="1"/>
  <c r="O67" i="2" s="1"/>
  <c r="P67" i="2" s="1"/>
  <c r="Q67" i="2" s="1"/>
  <c r="R67" i="2" s="1"/>
  <c r="S67" i="2" s="1"/>
  <c r="T67" i="2" s="1"/>
  <c r="K65" i="2"/>
  <c r="L65" i="2" s="1"/>
  <c r="L51" i="2"/>
  <c r="M51" i="2" s="1"/>
  <c r="N51" i="2" s="1"/>
  <c r="O51" i="2" s="1"/>
  <c r="P51" i="2" s="1"/>
  <c r="Q51" i="2" s="1"/>
  <c r="R51" i="2" s="1"/>
  <c r="S51" i="2" s="1"/>
  <c r="T51" i="2" s="1"/>
  <c r="K50" i="2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K96" i="2"/>
  <c r="C100" i="2"/>
  <c r="H85" i="2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N74" i="4" l="1"/>
  <c r="N72" i="4"/>
  <c r="M35" i="4"/>
  <c r="L34" i="4"/>
  <c r="L82" i="4"/>
  <c r="M16" i="9"/>
  <c r="M17" i="9"/>
  <c r="L187" i="4"/>
  <c r="L188" i="4" s="1"/>
  <c r="K191" i="4"/>
  <c r="K28" i="9"/>
  <c r="L28" i="9" s="1"/>
  <c r="M28" i="9" s="1"/>
  <c r="N28" i="9" s="1"/>
  <c r="O28" i="9" s="1"/>
  <c r="P28" i="9" s="1"/>
  <c r="Q28" i="9" s="1"/>
  <c r="R28" i="9" s="1"/>
  <c r="S28" i="9" s="1"/>
  <c r="T28" i="9" s="1"/>
  <c r="K52" i="9"/>
  <c r="L52" i="9" s="1"/>
  <c r="M52" i="9" s="1"/>
  <c r="N52" i="9" s="1"/>
  <c r="O52" i="9" s="1"/>
  <c r="P52" i="9" s="1"/>
  <c r="Q52" i="9" s="1"/>
  <c r="R52" i="9" s="1"/>
  <c r="S52" i="9" s="1"/>
  <c r="T52" i="9" s="1"/>
  <c r="K37" i="9"/>
  <c r="L37" i="9" s="1"/>
  <c r="M37" i="9" s="1"/>
  <c r="N37" i="9" s="1"/>
  <c r="O37" i="9" s="1"/>
  <c r="P37" i="9" s="1"/>
  <c r="Q37" i="9" s="1"/>
  <c r="R37" i="9" s="1"/>
  <c r="S37" i="9" s="1"/>
  <c r="T37" i="9" s="1"/>
  <c r="K48" i="9"/>
  <c r="L48" i="9" s="1"/>
  <c r="M48" i="9" s="1"/>
  <c r="N48" i="9" s="1"/>
  <c r="O48" i="9" s="1"/>
  <c r="P48" i="9" s="1"/>
  <c r="Q48" i="9" s="1"/>
  <c r="R48" i="9" s="1"/>
  <c r="S48" i="9" s="1"/>
  <c r="T48" i="9" s="1"/>
  <c r="K32" i="9"/>
  <c r="L32" i="9" s="1"/>
  <c r="M32" i="9" s="1"/>
  <c r="N32" i="9" s="1"/>
  <c r="O32" i="9" s="1"/>
  <c r="P32" i="9" s="1"/>
  <c r="Q32" i="9" s="1"/>
  <c r="R32" i="9" s="1"/>
  <c r="S32" i="9" s="1"/>
  <c r="T32" i="9" s="1"/>
  <c r="N14" i="9"/>
  <c r="K49" i="9"/>
  <c r="L49" i="9" s="1"/>
  <c r="M49" i="9" s="1"/>
  <c r="N49" i="9" s="1"/>
  <c r="O49" i="9" s="1"/>
  <c r="P49" i="9" s="1"/>
  <c r="Q49" i="9" s="1"/>
  <c r="R49" i="9" s="1"/>
  <c r="S49" i="9" s="1"/>
  <c r="T49" i="9" s="1"/>
  <c r="H51" i="9"/>
  <c r="K51" i="9" s="1"/>
  <c r="L51" i="9" s="1"/>
  <c r="M51" i="9" s="1"/>
  <c r="N51" i="9" s="1"/>
  <c r="O51" i="9" s="1"/>
  <c r="P51" i="9" s="1"/>
  <c r="Q51" i="9" s="1"/>
  <c r="R51" i="9" s="1"/>
  <c r="S51" i="9" s="1"/>
  <c r="T51" i="9" s="1"/>
  <c r="O65" i="4"/>
  <c r="O75" i="4"/>
  <c r="L93" i="4"/>
  <c r="L15" i="9"/>
  <c r="K60" i="9"/>
  <c r="L60" i="9" s="1"/>
  <c r="M60" i="9" s="1"/>
  <c r="N60" i="9" s="1"/>
  <c r="O60" i="9" s="1"/>
  <c r="P60" i="9" s="1"/>
  <c r="Q60" i="9" s="1"/>
  <c r="R60" i="9" s="1"/>
  <c r="S60" i="9" s="1"/>
  <c r="T60" i="9" s="1"/>
  <c r="K63" i="9"/>
  <c r="L63" i="9" s="1"/>
  <c r="M63" i="9" s="1"/>
  <c r="N63" i="9" s="1"/>
  <c r="O63" i="9" s="1"/>
  <c r="P63" i="9" s="1"/>
  <c r="Q63" i="9" s="1"/>
  <c r="R63" i="9" s="1"/>
  <c r="S63" i="9" s="1"/>
  <c r="T63" i="9" s="1"/>
  <c r="L65" i="9"/>
  <c r="M65" i="9" s="1"/>
  <c r="N65" i="9" s="1"/>
  <c r="O65" i="9" s="1"/>
  <c r="P65" i="9" s="1"/>
  <c r="Q65" i="9" s="1"/>
  <c r="R65" i="9" s="1"/>
  <c r="S65" i="9" s="1"/>
  <c r="T65" i="9" s="1"/>
  <c r="O27" i="9"/>
  <c r="N174" i="4"/>
  <c r="O142" i="4"/>
  <c r="M137" i="3"/>
  <c r="O141" i="4"/>
  <c r="L140" i="4"/>
  <c r="K147" i="4"/>
  <c r="P69" i="4"/>
  <c r="P66" i="4"/>
  <c r="N35" i="4"/>
  <c r="L176" i="4"/>
  <c r="M131" i="4"/>
  <c r="M177" i="4"/>
  <c r="M132" i="4"/>
  <c r="N145" i="3"/>
  <c r="M152" i="3"/>
  <c r="M154" i="3" s="1"/>
  <c r="O126" i="4"/>
  <c r="P127" i="4"/>
  <c r="L102" i="4"/>
  <c r="N134" i="4"/>
  <c r="N143" i="4"/>
  <c r="O133" i="4"/>
  <c r="K64" i="3"/>
  <c r="K105" i="3" s="1"/>
  <c r="K107" i="3" s="1"/>
  <c r="K161" i="3" s="1"/>
  <c r="K168" i="3" s="1"/>
  <c r="N47" i="3"/>
  <c r="N109" i="3" s="1"/>
  <c r="N58" i="3"/>
  <c r="N55" i="3" s="1"/>
  <c r="O49" i="3"/>
  <c r="N114" i="3"/>
  <c r="M47" i="3"/>
  <c r="M22" i="3" s="1"/>
  <c r="M58" i="3"/>
  <c r="M55" i="3" s="1"/>
  <c r="S21" i="3"/>
  <c r="R57" i="3"/>
  <c r="L64" i="3"/>
  <c r="L105" i="3" s="1"/>
  <c r="L107" i="3" s="1"/>
  <c r="L111" i="3" s="1"/>
  <c r="M66" i="3"/>
  <c r="Q65" i="3"/>
  <c r="Q56" i="3"/>
  <c r="O91" i="3"/>
  <c r="P38" i="3"/>
  <c r="O37" i="3"/>
  <c r="M148" i="3"/>
  <c r="N131" i="3"/>
  <c r="N139" i="3" s="1"/>
  <c r="N136" i="3" s="1"/>
  <c r="O132" i="3"/>
  <c r="N137" i="2"/>
  <c r="N136" i="2" s="1"/>
  <c r="Q132" i="2"/>
  <c r="P131" i="2"/>
  <c r="P148" i="2" s="1"/>
  <c r="L49" i="2"/>
  <c r="L50" i="2"/>
  <c r="M50" i="2" s="1"/>
  <c r="N50" i="2" s="1"/>
  <c r="O50" i="2" s="1"/>
  <c r="P50" i="2" s="1"/>
  <c r="Q50" i="2" s="1"/>
  <c r="R50" i="2" s="1"/>
  <c r="S50" i="2" s="1"/>
  <c r="T50" i="2" s="1"/>
  <c r="M65" i="2"/>
  <c r="N65" i="2" s="1"/>
  <c r="O65" i="2" s="1"/>
  <c r="P65" i="2" s="1"/>
  <c r="Q65" i="2" s="1"/>
  <c r="R65" i="2" s="1"/>
  <c r="S65" i="2" s="1"/>
  <c r="T65" i="2" s="1"/>
  <c r="K95" i="2"/>
  <c r="L96" i="2"/>
  <c r="M96" i="2" s="1"/>
  <c r="N96" i="2" s="1"/>
  <c r="O96" i="2" s="1"/>
  <c r="P96" i="2" s="1"/>
  <c r="Q96" i="2" s="1"/>
  <c r="R96" i="2" s="1"/>
  <c r="S96" i="2" s="1"/>
  <c r="T96" i="2" s="1"/>
  <c r="K114" i="2"/>
  <c r="O74" i="4" l="1"/>
  <c r="O72" i="4"/>
  <c r="N73" i="4"/>
  <c r="N71" i="4" s="1"/>
  <c r="M15" i="9"/>
  <c r="K159" i="4"/>
  <c r="M83" i="4"/>
  <c r="M36" i="4" s="1"/>
  <c r="M34" i="4"/>
  <c r="N16" i="9"/>
  <c r="N17" i="9"/>
  <c r="K36" i="9"/>
  <c r="L36" i="9" s="1"/>
  <c r="O14" i="9"/>
  <c r="K41" i="9"/>
  <c r="L41" i="9" s="1"/>
  <c r="M41" i="9" s="1"/>
  <c r="N41" i="9" s="1"/>
  <c r="O41" i="9" s="1"/>
  <c r="P41" i="9" s="1"/>
  <c r="Q41" i="9" s="1"/>
  <c r="R41" i="9" s="1"/>
  <c r="S41" i="9" s="1"/>
  <c r="T41" i="9" s="1"/>
  <c r="P65" i="4"/>
  <c r="P74" i="4" s="1"/>
  <c r="P75" i="4"/>
  <c r="P27" i="9"/>
  <c r="K149" i="4"/>
  <c r="N137" i="3"/>
  <c r="M140" i="4"/>
  <c r="L147" i="4"/>
  <c r="O174" i="4"/>
  <c r="P142" i="4"/>
  <c r="P141" i="4"/>
  <c r="Q69" i="4"/>
  <c r="Q66" i="4"/>
  <c r="Q75" i="4" s="1"/>
  <c r="L171" i="4"/>
  <c r="N132" i="4"/>
  <c r="N177" i="4"/>
  <c r="L161" i="3"/>
  <c r="L168" i="3" s="1"/>
  <c r="O145" i="3"/>
  <c r="N152" i="3"/>
  <c r="N154" i="3" s="1"/>
  <c r="P133" i="4"/>
  <c r="P126" i="4"/>
  <c r="Q127" i="4"/>
  <c r="O143" i="4"/>
  <c r="O134" i="4"/>
  <c r="N131" i="4"/>
  <c r="O35" i="4"/>
  <c r="N22" i="3"/>
  <c r="X64" i="3"/>
  <c r="M109" i="3"/>
  <c r="O114" i="3"/>
  <c r="P49" i="3"/>
  <c r="R56" i="3"/>
  <c r="P37" i="3"/>
  <c r="P48" i="3" s="1"/>
  <c r="Q38" i="3"/>
  <c r="P91" i="3"/>
  <c r="T21" i="3"/>
  <c r="T57" i="3" s="1"/>
  <c r="S57" i="3"/>
  <c r="N66" i="3"/>
  <c r="M64" i="3"/>
  <c r="M105" i="3" s="1"/>
  <c r="O131" i="3"/>
  <c r="O139" i="3" s="1"/>
  <c r="O136" i="3" s="1"/>
  <c r="P132" i="3"/>
  <c r="N148" i="3"/>
  <c r="K111" i="3"/>
  <c r="O48" i="3"/>
  <c r="R65" i="3"/>
  <c r="O137" i="2"/>
  <c r="O136" i="2" s="1"/>
  <c r="Q131" i="2"/>
  <c r="Q148" i="2" s="1"/>
  <c r="R132" i="2"/>
  <c r="L95" i="2"/>
  <c r="M95" i="2" s="1"/>
  <c r="N95" i="2" s="1"/>
  <c r="O95" i="2" s="1"/>
  <c r="P95" i="2" s="1"/>
  <c r="Q95" i="2" s="1"/>
  <c r="R95" i="2" s="1"/>
  <c r="S95" i="2" s="1"/>
  <c r="T95" i="2" s="1"/>
  <c r="K145" i="2"/>
  <c r="K152" i="2" s="1"/>
  <c r="M49" i="2"/>
  <c r="L114" i="2"/>
  <c r="K8" i="2"/>
  <c r="K9" i="2"/>
  <c r="K10" i="2"/>
  <c r="K11" i="2"/>
  <c r="K12" i="2"/>
  <c r="K13" i="2"/>
  <c r="K14" i="2"/>
  <c r="K37" i="2"/>
  <c r="L45" i="2"/>
  <c r="M45" i="2" s="1"/>
  <c r="N45" i="2" s="1"/>
  <c r="O45" i="2" s="1"/>
  <c r="P45" i="2" s="1"/>
  <c r="Q45" i="2" s="1"/>
  <c r="R45" i="2" s="1"/>
  <c r="S45" i="2" s="1"/>
  <c r="T45" i="2" s="1"/>
  <c r="L44" i="2"/>
  <c r="M44" i="2" s="1"/>
  <c r="N44" i="2" s="1"/>
  <c r="O44" i="2" s="1"/>
  <c r="P44" i="2" s="1"/>
  <c r="Q44" i="2" s="1"/>
  <c r="R44" i="2" s="1"/>
  <c r="S44" i="2" s="1"/>
  <c r="T44" i="2" s="1"/>
  <c r="L43" i="2"/>
  <c r="M43" i="2" s="1"/>
  <c r="N43" i="2" s="1"/>
  <c r="O43" i="2" s="1"/>
  <c r="P43" i="2" s="1"/>
  <c r="Q43" i="2" s="1"/>
  <c r="R43" i="2" s="1"/>
  <c r="S43" i="2" s="1"/>
  <c r="T43" i="2" s="1"/>
  <c r="L42" i="2"/>
  <c r="M42" i="2" s="1"/>
  <c r="N42" i="2" s="1"/>
  <c r="O42" i="2" s="1"/>
  <c r="P42" i="2" s="1"/>
  <c r="Q42" i="2" s="1"/>
  <c r="R42" i="2" s="1"/>
  <c r="S42" i="2" s="1"/>
  <c r="T42" i="2" s="1"/>
  <c r="L41" i="2"/>
  <c r="M41" i="2" s="1"/>
  <c r="N41" i="2" s="1"/>
  <c r="O41" i="2" s="1"/>
  <c r="P41" i="2" s="1"/>
  <c r="Q41" i="2" s="1"/>
  <c r="R41" i="2" s="1"/>
  <c r="S41" i="2" s="1"/>
  <c r="T41" i="2" s="1"/>
  <c r="L40" i="2"/>
  <c r="M40" i="2" s="1"/>
  <c r="N40" i="2" s="1"/>
  <c r="O40" i="2" s="1"/>
  <c r="P40" i="2" s="1"/>
  <c r="Q40" i="2" s="1"/>
  <c r="R40" i="2" s="1"/>
  <c r="S40" i="2" s="1"/>
  <c r="T40" i="2" s="1"/>
  <c r="L39" i="2"/>
  <c r="M38" i="2"/>
  <c r="N38" i="2" s="1"/>
  <c r="N19" i="2"/>
  <c r="O19" i="2" s="1"/>
  <c r="P19" i="2" s="1"/>
  <c r="Q19" i="2" s="1"/>
  <c r="R19" i="2" s="1"/>
  <c r="S19" i="2" s="1"/>
  <c r="T19" i="2" s="1"/>
  <c r="L57" i="2"/>
  <c r="L56" i="2" s="1"/>
  <c r="M57" i="2"/>
  <c r="M56" i="2" s="1"/>
  <c r="N57" i="2"/>
  <c r="N56" i="2" s="1"/>
  <c r="O57" i="2"/>
  <c r="O56" i="2" s="1"/>
  <c r="P57" i="2"/>
  <c r="P56" i="2" s="1"/>
  <c r="Q57" i="2"/>
  <c r="Q56" i="2" s="1"/>
  <c r="R57" i="2"/>
  <c r="R56" i="2" s="1"/>
  <c r="S57" i="2"/>
  <c r="S56" i="2" s="1"/>
  <c r="T57" i="2"/>
  <c r="T56" i="2" s="1"/>
  <c r="C2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E20" i="1"/>
  <c r="G20" i="1"/>
  <c r="I20" i="1"/>
  <c r="K20" i="1"/>
  <c r="M20" i="1"/>
  <c r="O20" i="1"/>
  <c r="Q20" i="1"/>
  <c r="S20" i="1"/>
  <c r="U20" i="1"/>
  <c r="W20" i="1"/>
  <c r="Y20" i="1"/>
  <c r="C21" i="1"/>
  <c r="E21" i="1"/>
  <c r="G21" i="1"/>
  <c r="I21" i="1"/>
  <c r="K21" i="1"/>
  <c r="M21" i="1"/>
  <c r="O21" i="1"/>
  <c r="Q21" i="1"/>
  <c r="S21" i="1"/>
  <c r="U21" i="1"/>
  <c r="U22" i="1" s="1"/>
  <c r="U6" i="1" s="1"/>
  <c r="W21" i="1"/>
  <c r="Y21" i="1"/>
  <c r="M17" i="1" l="1"/>
  <c r="N86" i="4"/>
  <c r="P71" i="4"/>
  <c r="O73" i="4"/>
  <c r="O71" i="4" s="1"/>
  <c r="O86" i="4" s="1"/>
  <c r="N15" i="9"/>
  <c r="O17" i="9"/>
  <c r="O16" i="9"/>
  <c r="N34" i="4"/>
  <c r="N83" i="4"/>
  <c r="N36" i="4" s="1"/>
  <c r="N84" i="4"/>
  <c r="O17" i="1"/>
  <c r="N17" i="1"/>
  <c r="M19" i="1" s="1"/>
  <c r="K26" i="9"/>
  <c r="P14" i="9"/>
  <c r="N93" i="4"/>
  <c r="Q65" i="4"/>
  <c r="Q74" i="4" s="1"/>
  <c r="Q71" i="4" s="1"/>
  <c r="M36" i="9"/>
  <c r="L26" i="9"/>
  <c r="Q27" i="9"/>
  <c r="P35" i="4"/>
  <c r="N102" i="4"/>
  <c r="L149" i="4"/>
  <c r="D17" i="1"/>
  <c r="N140" i="4"/>
  <c r="M147" i="4"/>
  <c r="P174" i="4"/>
  <c r="Q141" i="4"/>
  <c r="Q142" i="4"/>
  <c r="R69" i="4"/>
  <c r="R66" i="4"/>
  <c r="H17" i="1"/>
  <c r="F17" i="1"/>
  <c r="Q17" i="1"/>
  <c r="Q19" i="1" s="1"/>
  <c r="E17" i="1"/>
  <c r="E19" i="1" s="1"/>
  <c r="P17" i="1"/>
  <c r="O19" i="1" s="1"/>
  <c r="O131" i="4"/>
  <c r="O177" i="4"/>
  <c r="R17" i="1"/>
  <c r="C17" i="1"/>
  <c r="O132" i="4"/>
  <c r="P145" i="3"/>
  <c r="O152" i="3"/>
  <c r="O154" i="3" s="1"/>
  <c r="Q133" i="4"/>
  <c r="Q126" i="4"/>
  <c r="R127" i="4"/>
  <c r="P143" i="4"/>
  <c r="P134" i="4"/>
  <c r="O137" i="3"/>
  <c r="O47" i="3"/>
  <c r="O109" i="3" s="1"/>
  <c r="O58" i="3"/>
  <c r="O55" i="3" s="1"/>
  <c r="L17" i="1"/>
  <c r="P47" i="3"/>
  <c r="P109" i="3" s="1"/>
  <c r="P58" i="3"/>
  <c r="P55" i="3" s="1"/>
  <c r="W17" i="1"/>
  <c r="J17" i="1"/>
  <c r="U17" i="1"/>
  <c r="T17" i="1"/>
  <c r="Q49" i="3"/>
  <c r="P114" i="3"/>
  <c r="V17" i="1"/>
  <c r="S17" i="1"/>
  <c r="G17" i="1"/>
  <c r="M107" i="3"/>
  <c r="M161" i="3" s="1"/>
  <c r="M168" i="3" s="1"/>
  <c r="R38" i="3"/>
  <c r="Q37" i="3"/>
  <c r="Q48" i="3" s="1"/>
  <c r="S65" i="3"/>
  <c r="O148" i="3"/>
  <c r="T56" i="3"/>
  <c r="Q91" i="3"/>
  <c r="P131" i="3"/>
  <c r="P139" i="3" s="1"/>
  <c r="P136" i="3" s="1"/>
  <c r="Q132" i="3"/>
  <c r="O66" i="3"/>
  <c r="N64" i="3"/>
  <c r="S56" i="3"/>
  <c r="P137" i="2"/>
  <c r="P136" i="2" s="1"/>
  <c r="S132" i="2"/>
  <c r="R131" i="2"/>
  <c r="R148" i="2" s="1"/>
  <c r="L145" i="2"/>
  <c r="I17" i="1"/>
  <c r="K17" i="1"/>
  <c r="Q22" i="1"/>
  <c r="Q6" i="1" s="1"/>
  <c r="K16" i="2"/>
  <c r="Y17" i="1"/>
  <c r="N49" i="2"/>
  <c r="M114" i="2"/>
  <c r="K48" i="2"/>
  <c r="H62" i="2"/>
  <c r="Y22" i="1"/>
  <c r="Y6" i="1" s="1"/>
  <c r="Z17" i="1"/>
  <c r="E22" i="1"/>
  <c r="E6" i="1" s="1"/>
  <c r="C22" i="1"/>
  <c r="C6" i="1" s="1"/>
  <c r="S22" i="1"/>
  <c r="S6" i="1" s="1"/>
  <c r="X17" i="1"/>
  <c r="O22" i="1"/>
  <c r="O6" i="1" s="1"/>
  <c r="M22" i="1"/>
  <c r="M6" i="1" s="1"/>
  <c r="K22" i="1"/>
  <c r="K6" i="1" s="1"/>
  <c r="I22" i="1"/>
  <c r="I6" i="1" s="1"/>
  <c r="G22" i="1"/>
  <c r="G6" i="1" s="1"/>
  <c r="W22" i="1"/>
  <c r="W6" i="1" s="1"/>
  <c r="L37" i="2"/>
  <c r="O38" i="2"/>
  <c r="M39" i="2"/>
  <c r="W34" i="2"/>
  <c r="S19" i="1" l="1"/>
  <c r="N82" i="4"/>
  <c r="C19" i="1"/>
  <c r="N176" i="4"/>
  <c r="N171" i="4" s="1"/>
  <c r="O15" i="9"/>
  <c r="P84" i="4"/>
  <c r="P176" i="4" s="1"/>
  <c r="O84" i="4"/>
  <c r="O176" i="4" s="1"/>
  <c r="O83" i="4"/>
  <c r="O36" i="4" s="1"/>
  <c r="O34" i="4"/>
  <c r="P17" i="9"/>
  <c r="P16" i="9"/>
  <c r="X26" i="9"/>
  <c r="Q14" i="9"/>
  <c r="R65" i="4"/>
  <c r="R74" i="4" s="1"/>
  <c r="R75" i="4"/>
  <c r="O93" i="4"/>
  <c r="L89" i="4"/>
  <c r="L94" i="4" s="1"/>
  <c r="L92" i="4" s="1"/>
  <c r="N36" i="9"/>
  <c r="M26" i="9"/>
  <c r="R27" i="9"/>
  <c r="Q174" i="4"/>
  <c r="R142" i="4"/>
  <c r="R141" i="4"/>
  <c r="M149" i="4"/>
  <c r="O140" i="4"/>
  <c r="N147" i="4"/>
  <c r="G19" i="1"/>
  <c r="G24" i="1" s="1"/>
  <c r="S69" i="4"/>
  <c r="S66" i="4"/>
  <c r="S75" i="4" s="1"/>
  <c r="O24" i="1"/>
  <c r="P131" i="4"/>
  <c r="P177" i="4"/>
  <c r="P132" i="4"/>
  <c r="C24" i="1"/>
  <c r="K19" i="1"/>
  <c r="K24" i="1" s="1"/>
  <c r="U19" i="1"/>
  <c r="U24" i="1" s="1"/>
  <c r="Q145" i="3"/>
  <c r="P152" i="3"/>
  <c r="P154" i="3" s="1"/>
  <c r="R126" i="4"/>
  <c r="S127" i="4"/>
  <c r="Q134" i="4"/>
  <c r="Q143" i="4"/>
  <c r="O102" i="4"/>
  <c r="Q35" i="4"/>
  <c r="R133" i="4"/>
  <c r="O22" i="3"/>
  <c r="P22" i="3"/>
  <c r="P137" i="3"/>
  <c r="Q114" i="3"/>
  <c r="R49" i="3"/>
  <c r="E24" i="1"/>
  <c r="I19" i="1"/>
  <c r="I24" i="1" s="1"/>
  <c r="Q47" i="3"/>
  <c r="Q109" i="3" s="1"/>
  <c r="Q58" i="3"/>
  <c r="Q55" i="3" s="1"/>
  <c r="Q24" i="1"/>
  <c r="M24" i="1"/>
  <c r="W19" i="1"/>
  <c r="W24" i="1" s="1"/>
  <c r="R132" i="3"/>
  <c r="Q131" i="3"/>
  <c r="Q139" i="3" s="1"/>
  <c r="Q136" i="3" s="1"/>
  <c r="P148" i="3"/>
  <c r="T65" i="3"/>
  <c r="N105" i="3"/>
  <c r="P66" i="3"/>
  <c r="O64" i="3"/>
  <c r="O105" i="3" s="1"/>
  <c r="O107" i="3" s="1"/>
  <c r="O111" i="3" s="1"/>
  <c r="R91" i="3"/>
  <c r="S38" i="3"/>
  <c r="R37" i="3"/>
  <c r="M111" i="3"/>
  <c r="Q137" i="2"/>
  <c r="Q136" i="2" s="1"/>
  <c r="T132" i="2"/>
  <c r="T131" i="2" s="1"/>
  <c r="T148" i="2" s="1"/>
  <c r="S131" i="2"/>
  <c r="S148" i="2" s="1"/>
  <c r="M145" i="2"/>
  <c r="L152" i="2"/>
  <c r="Y19" i="1"/>
  <c r="Y24" i="1" s="1"/>
  <c r="S24" i="1"/>
  <c r="O49" i="2"/>
  <c r="N114" i="2"/>
  <c r="K69" i="2"/>
  <c r="K97" i="2"/>
  <c r="L97" i="2" s="1"/>
  <c r="M97" i="2" s="1"/>
  <c r="N97" i="2" s="1"/>
  <c r="O97" i="2" s="1"/>
  <c r="P97" i="2" s="1"/>
  <c r="Q97" i="2" s="1"/>
  <c r="R97" i="2" s="1"/>
  <c r="S97" i="2" s="1"/>
  <c r="T97" i="2" s="1"/>
  <c r="K80" i="2"/>
  <c r="L80" i="2" s="1"/>
  <c r="M80" i="2" s="1"/>
  <c r="N80" i="2" s="1"/>
  <c r="O80" i="2" s="1"/>
  <c r="P80" i="2" s="1"/>
  <c r="Q80" i="2" s="1"/>
  <c r="R80" i="2" s="1"/>
  <c r="S80" i="2" s="1"/>
  <c r="T80" i="2" s="1"/>
  <c r="K73" i="2"/>
  <c r="K92" i="2"/>
  <c r="L92" i="2" s="1"/>
  <c r="M92" i="2" s="1"/>
  <c r="N92" i="2" s="1"/>
  <c r="O92" i="2" s="1"/>
  <c r="P92" i="2" s="1"/>
  <c r="Q92" i="2" s="1"/>
  <c r="R92" i="2" s="1"/>
  <c r="S92" i="2" s="1"/>
  <c r="T92" i="2" s="1"/>
  <c r="K91" i="2"/>
  <c r="K47" i="2"/>
  <c r="K58" i="2" s="1"/>
  <c r="K99" i="2"/>
  <c r="L99" i="2" s="1"/>
  <c r="M99" i="2" s="1"/>
  <c r="N99" i="2" s="1"/>
  <c r="O99" i="2" s="1"/>
  <c r="P99" i="2" s="1"/>
  <c r="Q99" i="2" s="1"/>
  <c r="R99" i="2" s="1"/>
  <c r="S99" i="2" s="1"/>
  <c r="T99" i="2" s="1"/>
  <c r="K100" i="2"/>
  <c r="L100" i="2" s="1"/>
  <c r="M100" i="2" s="1"/>
  <c r="N100" i="2" s="1"/>
  <c r="O100" i="2" s="1"/>
  <c r="P100" i="2" s="1"/>
  <c r="Q100" i="2" s="1"/>
  <c r="R100" i="2" s="1"/>
  <c r="S100" i="2" s="1"/>
  <c r="T100" i="2" s="1"/>
  <c r="L48" i="2"/>
  <c r="L47" i="2" s="1"/>
  <c r="L109" i="2" s="1"/>
  <c r="B23" i="1"/>
  <c r="C23" i="1" s="1"/>
  <c r="C29" i="1" s="1"/>
  <c r="M37" i="2"/>
  <c r="N39" i="2"/>
  <c r="P38" i="2"/>
  <c r="R71" i="4" l="1"/>
  <c r="L97" i="4"/>
  <c r="L98" i="4" s="1"/>
  <c r="L106" i="4"/>
  <c r="P15" i="9"/>
  <c r="O82" i="4"/>
  <c r="P86" i="4"/>
  <c r="Q16" i="9"/>
  <c r="Q17" i="9"/>
  <c r="Q86" i="4"/>
  <c r="P34" i="4"/>
  <c r="P83" i="4"/>
  <c r="P36" i="4" s="1"/>
  <c r="R14" i="9"/>
  <c r="S65" i="4"/>
  <c r="S74" i="4" s="1"/>
  <c r="S71" i="4" s="1"/>
  <c r="O36" i="9"/>
  <c r="N26" i="9"/>
  <c r="S27" i="9"/>
  <c r="N149" i="4"/>
  <c r="P140" i="4"/>
  <c r="O147" i="4"/>
  <c r="S142" i="4"/>
  <c r="R174" i="4"/>
  <c r="O171" i="4"/>
  <c r="S141" i="4"/>
  <c r="P171" i="4"/>
  <c r="T69" i="4"/>
  <c r="R35" i="4"/>
  <c r="T66" i="4"/>
  <c r="Q132" i="4"/>
  <c r="Q177" i="4"/>
  <c r="O161" i="3"/>
  <c r="O168" i="3" s="1"/>
  <c r="R145" i="3"/>
  <c r="Q152" i="3"/>
  <c r="Q154" i="3" s="1"/>
  <c r="S126" i="4"/>
  <c r="T127" i="4"/>
  <c r="R134" i="4"/>
  <c r="R143" i="4"/>
  <c r="Q131" i="4"/>
  <c r="S133" i="4"/>
  <c r="Q22" i="3"/>
  <c r="Q137" i="3"/>
  <c r="C30" i="1"/>
  <c r="C32" i="1" s="1"/>
  <c r="D36" i="1" s="1"/>
  <c r="B28" i="1"/>
  <c r="F28" i="1" s="1"/>
  <c r="R114" i="3"/>
  <c r="S49" i="3"/>
  <c r="S91" i="3"/>
  <c r="N107" i="3"/>
  <c r="N161" i="3" s="1"/>
  <c r="N168" i="3" s="1"/>
  <c r="Q66" i="3"/>
  <c r="P64" i="3"/>
  <c r="Q148" i="3"/>
  <c r="R131" i="3"/>
  <c r="R139" i="3" s="1"/>
  <c r="R136" i="3" s="1"/>
  <c r="S132" i="3"/>
  <c r="R48" i="3"/>
  <c r="S37" i="3"/>
  <c r="S48" i="3" s="1"/>
  <c r="T38" i="3"/>
  <c r="T37" i="3" s="1"/>
  <c r="T48" i="3" s="1"/>
  <c r="R137" i="2"/>
  <c r="R136" i="2" s="1"/>
  <c r="N145" i="2"/>
  <c r="M152" i="2"/>
  <c r="L58" i="2"/>
  <c r="L55" i="2" s="1"/>
  <c r="P49" i="2"/>
  <c r="O114" i="2"/>
  <c r="K66" i="2"/>
  <c r="L66" i="2" s="1"/>
  <c r="L69" i="2"/>
  <c r="M69" i="2" s="1"/>
  <c r="N69" i="2" s="1"/>
  <c r="O69" i="2" s="1"/>
  <c r="P69" i="2" s="1"/>
  <c r="Q69" i="2" s="1"/>
  <c r="R69" i="2" s="1"/>
  <c r="S69" i="2" s="1"/>
  <c r="T69" i="2" s="1"/>
  <c r="K90" i="2"/>
  <c r="L90" i="2" s="1"/>
  <c r="M90" i="2" s="1"/>
  <c r="N90" i="2" s="1"/>
  <c r="O90" i="2" s="1"/>
  <c r="P90" i="2" s="1"/>
  <c r="Q90" i="2" s="1"/>
  <c r="R90" i="2" s="1"/>
  <c r="S90" i="2" s="1"/>
  <c r="T90" i="2" s="1"/>
  <c r="L91" i="2"/>
  <c r="K70" i="2"/>
  <c r="L70" i="2" s="1"/>
  <c r="M70" i="2" s="1"/>
  <c r="N70" i="2" s="1"/>
  <c r="O70" i="2" s="1"/>
  <c r="P70" i="2" s="1"/>
  <c r="Q70" i="2" s="1"/>
  <c r="R70" i="2" s="1"/>
  <c r="S70" i="2" s="1"/>
  <c r="T70" i="2" s="1"/>
  <c r="L73" i="2"/>
  <c r="M73" i="2" s="1"/>
  <c r="N73" i="2" s="1"/>
  <c r="O73" i="2" s="1"/>
  <c r="P73" i="2" s="1"/>
  <c r="Q73" i="2" s="1"/>
  <c r="R73" i="2" s="1"/>
  <c r="S73" i="2" s="1"/>
  <c r="T73" i="2" s="1"/>
  <c r="K98" i="2"/>
  <c r="L98" i="2" s="1"/>
  <c r="M98" i="2" s="1"/>
  <c r="N98" i="2" s="1"/>
  <c r="O98" i="2" s="1"/>
  <c r="P98" i="2" s="1"/>
  <c r="Q98" i="2" s="1"/>
  <c r="R98" i="2" s="1"/>
  <c r="S98" i="2" s="1"/>
  <c r="T98" i="2" s="1"/>
  <c r="K103" i="2"/>
  <c r="K87" i="2"/>
  <c r="L87" i="2" s="1"/>
  <c r="M87" i="2" s="1"/>
  <c r="N87" i="2" s="1"/>
  <c r="O87" i="2" s="1"/>
  <c r="P87" i="2" s="1"/>
  <c r="Q87" i="2" s="1"/>
  <c r="R87" i="2" s="1"/>
  <c r="S87" i="2" s="1"/>
  <c r="T87" i="2" s="1"/>
  <c r="K86" i="2"/>
  <c r="L86" i="2" s="1"/>
  <c r="M86" i="2" s="1"/>
  <c r="N86" i="2" s="1"/>
  <c r="O86" i="2" s="1"/>
  <c r="P86" i="2" s="1"/>
  <c r="Q86" i="2" s="1"/>
  <c r="R86" i="2" s="1"/>
  <c r="S86" i="2" s="1"/>
  <c r="T86" i="2" s="1"/>
  <c r="K75" i="2"/>
  <c r="L22" i="2"/>
  <c r="M48" i="2"/>
  <c r="M47" i="2" s="1"/>
  <c r="O39" i="2"/>
  <c r="N37" i="2"/>
  <c r="Q38" i="2"/>
  <c r="P102" i="4" l="1"/>
  <c r="P93" i="4"/>
  <c r="Q15" i="9"/>
  <c r="Q84" i="4"/>
  <c r="Q176" i="4" s="1"/>
  <c r="Q34" i="4"/>
  <c r="Q83" i="4"/>
  <c r="Q36" i="4" s="1"/>
  <c r="R86" i="4"/>
  <c r="R16" i="9"/>
  <c r="R17" i="9"/>
  <c r="P82" i="4"/>
  <c r="S14" i="9"/>
  <c r="T65" i="4"/>
  <c r="T74" i="4" s="1"/>
  <c r="T75" i="4"/>
  <c r="Q93" i="4"/>
  <c r="N89" i="4"/>
  <c r="P36" i="9"/>
  <c r="O26" i="9"/>
  <c r="T27" i="9"/>
  <c r="S174" i="4"/>
  <c r="T141" i="4"/>
  <c r="T142" i="4"/>
  <c r="O149" i="4"/>
  <c r="Q140" i="4"/>
  <c r="P147" i="4"/>
  <c r="R131" i="4"/>
  <c r="R132" i="4"/>
  <c r="R177" i="4"/>
  <c r="D34" i="1"/>
  <c r="S145" i="3"/>
  <c r="R152" i="3"/>
  <c r="R154" i="3" s="1"/>
  <c r="T133" i="4"/>
  <c r="S35" i="4"/>
  <c r="S134" i="4"/>
  <c r="S143" i="4"/>
  <c r="Q102" i="4"/>
  <c r="T126" i="4"/>
  <c r="R137" i="3"/>
  <c r="S47" i="3"/>
  <c r="S109" i="3" s="1"/>
  <c r="S58" i="3"/>
  <c r="S55" i="3" s="1"/>
  <c r="S114" i="3"/>
  <c r="T49" i="3"/>
  <c r="T114" i="3" s="1"/>
  <c r="R47" i="3"/>
  <c r="R109" i="3" s="1"/>
  <c r="R58" i="3"/>
  <c r="R55" i="3" s="1"/>
  <c r="S131" i="3"/>
  <c r="S139" i="3" s="1"/>
  <c r="S136" i="3" s="1"/>
  <c r="T132" i="3"/>
  <c r="R148" i="3"/>
  <c r="P105" i="3"/>
  <c r="R66" i="3"/>
  <c r="Q64" i="3"/>
  <c r="Q105" i="3" s="1"/>
  <c r="Q107" i="3" s="1"/>
  <c r="Q111" i="3" s="1"/>
  <c r="N111" i="3"/>
  <c r="W37" i="3"/>
  <c r="T91" i="3"/>
  <c r="T137" i="2"/>
  <c r="T136" i="2" s="1"/>
  <c r="S137" i="2"/>
  <c r="S136" i="2" s="1"/>
  <c r="M91" i="2"/>
  <c r="L168" i="2"/>
  <c r="O145" i="2"/>
  <c r="N152" i="2"/>
  <c r="M58" i="2"/>
  <c r="M55" i="2" s="1"/>
  <c r="M109" i="2"/>
  <c r="K79" i="2"/>
  <c r="L79" i="2" s="1"/>
  <c r="M79" i="2" s="1"/>
  <c r="N79" i="2" s="1"/>
  <c r="O79" i="2" s="1"/>
  <c r="P79" i="2" s="1"/>
  <c r="Q79" i="2" s="1"/>
  <c r="R79" i="2" s="1"/>
  <c r="S79" i="2" s="1"/>
  <c r="T79" i="2" s="1"/>
  <c r="Q49" i="2"/>
  <c r="P114" i="2"/>
  <c r="M66" i="2"/>
  <c r="K74" i="2"/>
  <c r="L75" i="2"/>
  <c r="M75" i="2" s="1"/>
  <c r="N75" i="2" s="1"/>
  <c r="O75" i="2" s="1"/>
  <c r="P75" i="2" s="1"/>
  <c r="Q75" i="2" s="1"/>
  <c r="R75" i="2" s="1"/>
  <c r="S75" i="2" s="1"/>
  <c r="T75" i="2" s="1"/>
  <c r="K101" i="2"/>
  <c r="L103" i="2"/>
  <c r="M103" i="2" s="1"/>
  <c r="N103" i="2" s="1"/>
  <c r="O103" i="2" s="1"/>
  <c r="P103" i="2" s="1"/>
  <c r="Q103" i="2" s="1"/>
  <c r="R103" i="2" s="1"/>
  <c r="S103" i="2" s="1"/>
  <c r="T103" i="2" s="1"/>
  <c r="N48" i="2"/>
  <c r="N47" i="2" s="1"/>
  <c r="M22" i="2"/>
  <c r="R38" i="2"/>
  <c r="P39" i="2"/>
  <c r="O37" i="2"/>
  <c r="T71" i="4" l="1"/>
  <c r="R84" i="4"/>
  <c r="R176" i="4" s="1"/>
  <c r="R15" i="9"/>
  <c r="S17" i="9"/>
  <c r="S16" i="9"/>
  <c r="R83" i="4"/>
  <c r="R36" i="4" s="1"/>
  <c r="R34" i="4"/>
  <c r="S84" i="4"/>
  <c r="Q82" i="4"/>
  <c r="R93" i="4"/>
  <c r="N94" i="4"/>
  <c r="N92" i="4" s="1"/>
  <c r="W65" i="4"/>
  <c r="T14" i="9"/>
  <c r="O89" i="4"/>
  <c r="Q36" i="9"/>
  <c r="P26" i="9"/>
  <c r="P149" i="4"/>
  <c r="R140" i="4"/>
  <c r="Q147" i="4"/>
  <c r="T174" i="4"/>
  <c r="R102" i="4"/>
  <c r="T35" i="4"/>
  <c r="Q171" i="4"/>
  <c r="S132" i="4"/>
  <c r="S177" i="4"/>
  <c r="Q161" i="3"/>
  <c r="Q168" i="3" s="1"/>
  <c r="T145" i="3"/>
  <c r="S152" i="3"/>
  <c r="S154" i="3" s="1"/>
  <c r="T134" i="4"/>
  <c r="T143" i="4"/>
  <c r="S131" i="4"/>
  <c r="S22" i="3"/>
  <c r="S137" i="3"/>
  <c r="R22" i="3"/>
  <c r="T58" i="3"/>
  <c r="T55" i="3" s="1"/>
  <c r="W55" i="3" s="1"/>
  <c r="T47" i="3"/>
  <c r="S66" i="3"/>
  <c r="R64" i="3"/>
  <c r="R105" i="3" s="1"/>
  <c r="R107" i="3" s="1"/>
  <c r="R111" i="3" s="1"/>
  <c r="P107" i="3"/>
  <c r="P161" i="3" s="1"/>
  <c r="P168" i="3" s="1"/>
  <c r="T131" i="3"/>
  <c r="T139" i="3" s="1"/>
  <c r="T136" i="3" s="1"/>
  <c r="S148" i="3"/>
  <c r="L101" i="2"/>
  <c r="M101" i="2" s="1"/>
  <c r="N101" i="2" s="1"/>
  <c r="O101" i="2" s="1"/>
  <c r="P101" i="2" s="1"/>
  <c r="Q101" i="2" s="1"/>
  <c r="R101" i="2" s="1"/>
  <c r="S101" i="2" s="1"/>
  <c r="T101" i="2" s="1"/>
  <c r="N91" i="2"/>
  <c r="M168" i="2"/>
  <c r="P145" i="2"/>
  <c r="O152" i="2"/>
  <c r="N58" i="2"/>
  <c r="N55" i="2" s="1"/>
  <c r="N109" i="2"/>
  <c r="R49" i="2"/>
  <c r="Q114" i="2"/>
  <c r="N66" i="2"/>
  <c r="L74" i="2"/>
  <c r="K64" i="2"/>
  <c r="X64" i="2" s="1"/>
  <c r="N22" i="2"/>
  <c r="O48" i="2"/>
  <c r="O47" i="2" s="1"/>
  <c r="Q39" i="2"/>
  <c r="P37" i="2"/>
  <c r="S38" i="2"/>
  <c r="N97" i="4" l="1"/>
  <c r="N98" i="4" s="1"/>
  <c r="N106" i="4"/>
  <c r="S86" i="4"/>
  <c r="S15" i="9"/>
  <c r="R82" i="4"/>
  <c r="T17" i="9"/>
  <c r="T16" i="9"/>
  <c r="S83" i="4"/>
  <c r="S36" i="4" s="1"/>
  <c r="S34" i="4"/>
  <c r="O94" i="4"/>
  <c r="O92" i="4" s="1"/>
  <c r="R36" i="9"/>
  <c r="Q26" i="9"/>
  <c r="P89" i="4"/>
  <c r="P94" i="4" s="1"/>
  <c r="P92" i="4" s="1"/>
  <c r="W14" i="9"/>
  <c r="R171" i="4"/>
  <c r="Q149" i="4"/>
  <c r="S140" i="4"/>
  <c r="R147" i="4"/>
  <c r="S176" i="4"/>
  <c r="T86" i="4"/>
  <c r="T152" i="3"/>
  <c r="T132" i="4"/>
  <c r="T177" i="4"/>
  <c r="R161" i="3"/>
  <c r="R168" i="3" s="1"/>
  <c r="T131" i="4"/>
  <c r="T137" i="3"/>
  <c r="T22" i="3"/>
  <c r="T109" i="3"/>
  <c r="W47" i="3"/>
  <c r="P111" i="3"/>
  <c r="T148" i="3"/>
  <c r="T66" i="3"/>
  <c r="T64" i="3" s="1"/>
  <c r="S64" i="3"/>
  <c r="S105" i="3" s="1"/>
  <c r="S107" i="3" s="1"/>
  <c r="S111" i="3" s="1"/>
  <c r="O91" i="2"/>
  <c r="N168" i="2"/>
  <c r="Q145" i="2"/>
  <c r="P152" i="2"/>
  <c r="O58" i="2"/>
  <c r="O55" i="2" s="1"/>
  <c r="O109" i="2"/>
  <c r="O22" i="2"/>
  <c r="S49" i="2"/>
  <c r="R114" i="2"/>
  <c r="O66" i="2"/>
  <c r="M74" i="2"/>
  <c r="L64" i="2"/>
  <c r="L105" i="2" s="1"/>
  <c r="P48" i="2"/>
  <c r="P47" i="2" s="1"/>
  <c r="R39" i="2"/>
  <c r="Q37" i="2"/>
  <c r="T38" i="2"/>
  <c r="S82" i="4" l="1"/>
  <c r="O97" i="4"/>
  <c r="O98" i="4" s="1"/>
  <c r="P97" i="4"/>
  <c r="P98" i="4" s="1"/>
  <c r="P106" i="4"/>
  <c r="S93" i="4"/>
  <c r="S102" i="4"/>
  <c r="T84" i="4"/>
  <c r="T176" i="4" s="1"/>
  <c r="T15" i="9"/>
  <c r="W15" i="9" s="1"/>
  <c r="T34" i="4"/>
  <c r="T83" i="4"/>
  <c r="T36" i="4" s="1"/>
  <c r="T102" i="4"/>
  <c r="T93" i="4"/>
  <c r="Q89" i="4"/>
  <c r="S36" i="9"/>
  <c r="R26" i="9"/>
  <c r="T140" i="4"/>
  <c r="S147" i="4"/>
  <c r="R149" i="4"/>
  <c r="S171" i="4"/>
  <c r="S161" i="3"/>
  <c r="S168" i="3" s="1"/>
  <c r="W152" i="3"/>
  <c r="T154" i="3"/>
  <c r="W64" i="3"/>
  <c r="T105" i="3"/>
  <c r="P91" i="2"/>
  <c r="O168" i="2"/>
  <c r="L107" i="2"/>
  <c r="L111" i="2" s="1"/>
  <c r="R145" i="2"/>
  <c r="Q152" i="2"/>
  <c r="P58" i="2"/>
  <c r="P55" i="2" s="1"/>
  <c r="P109" i="2"/>
  <c r="P22" i="2"/>
  <c r="T49" i="2"/>
  <c r="T114" i="2" s="1"/>
  <c r="S114" i="2"/>
  <c r="N74" i="2"/>
  <c r="M64" i="2"/>
  <c r="M105" i="2" s="1"/>
  <c r="P66" i="2"/>
  <c r="Q48" i="2"/>
  <c r="Q47" i="2" s="1"/>
  <c r="S39" i="2"/>
  <c r="R37" i="2"/>
  <c r="T82" i="4" l="1"/>
  <c r="Q94" i="4"/>
  <c r="Q92" i="4" s="1"/>
  <c r="R89" i="4"/>
  <c r="R94" i="4" s="1"/>
  <c r="R92" i="4" s="1"/>
  <c r="T36" i="9"/>
  <c r="T26" i="9" s="1"/>
  <c r="S26" i="9"/>
  <c r="T171" i="4"/>
  <c r="S149" i="4"/>
  <c r="T147" i="4"/>
  <c r="W147" i="4" s="1"/>
  <c r="W154" i="3"/>
  <c r="T107" i="3"/>
  <c r="T161" i="3" s="1"/>
  <c r="T168" i="3" s="1"/>
  <c r="W105" i="3"/>
  <c r="M107" i="2"/>
  <c r="M111" i="2" s="1"/>
  <c r="Q91" i="2"/>
  <c r="P168" i="2"/>
  <c r="S145" i="2"/>
  <c r="R152" i="2"/>
  <c r="Q58" i="2"/>
  <c r="Q55" i="2" s="1"/>
  <c r="Q109" i="2"/>
  <c r="O74" i="2"/>
  <c r="N64" i="2"/>
  <c r="N105" i="2" s="1"/>
  <c r="Q66" i="2"/>
  <c r="Q22" i="2"/>
  <c r="R48" i="2"/>
  <c r="R47" i="2" s="1"/>
  <c r="R22" i="2" s="1"/>
  <c r="T39" i="2"/>
  <c r="T37" i="2" s="1"/>
  <c r="T48" i="2" s="1"/>
  <c r="T47" i="2" s="1"/>
  <c r="T109" i="2" s="1"/>
  <c r="S37" i="2"/>
  <c r="R97" i="4" l="1"/>
  <c r="R98" i="4" s="1"/>
  <c r="R106" i="4"/>
  <c r="Q97" i="4"/>
  <c r="Q98" i="4" s="1"/>
  <c r="Q106" i="4"/>
  <c r="S89" i="4"/>
  <c r="T89" i="4"/>
  <c r="T94" i="4" s="1"/>
  <c r="T92" i="4" s="1"/>
  <c r="W26" i="9"/>
  <c r="T149" i="4"/>
  <c r="W149" i="4" s="1"/>
  <c r="T111" i="3"/>
  <c r="W107" i="3"/>
  <c r="N107" i="2"/>
  <c r="N111" i="2" s="1"/>
  <c r="R91" i="2"/>
  <c r="Q168" i="2"/>
  <c r="T145" i="2"/>
  <c r="T152" i="2" s="1"/>
  <c r="S152" i="2"/>
  <c r="R58" i="2"/>
  <c r="R55" i="2" s="1"/>
  <c r="R109" i="2"/>
  <c r="R66" i="2"/>
  <c r="P74" i="2"/>
  <c r="O64" i="2"/>
  <c r="O105" i="2" s="1"/>
  <c r="S48" i="2"/>
  <c r="S47" i="2" s="1"/>
  <c r="S22" i="2" s="1"/>
  <c r="T58" i="2"/>
  <c r="T55" i="2" s="1"/>
  <c r="W37" i="2"/>
  <c r="T97" i="4" l="1"/>
  <c r="T98" i="4" s="1"/>
  <c r="S94" i="4"/>
  <c r="S92" i="4" s="1"/>
  <c r="O107" i="2"/>
  <c r="O111" i="2" s="1"/>
  <c r="S91" i="2"/>
  <c r="R168" i="2"/>
  <c r="W152" i="2"/>
  <c r="S58" i="2"/>
  <c r="S55" i="2" s="1"/>
  <c r="S109" i="2"/>
  <c r="Q74" i="2"/>
  <c r="P64" i="2"/>
  <c r="P105" i="2" s="1"/>
  <c r="S66" i="2"/>
  <c r="T22" i="2"/>
  <c r="W47" i="2"/>
  <c r="S97" i="4" l="1"/>
  <c r="S98" i="4" s="1"/>
  <c r="S106" i="4"/>
  <c r="P107" i="2"/>
  <c r="P111" i="2" s="1"/>
  <c r="T91" i="2"/>
  <c r="T168" i="2" s="1"/>
  <c r="S168" i="2"/>
  <c r="T66" i="2"/>
  <c r="R74" i="2"/>
  <c r="Q64" i="2"/>
  <c r="Q105" i="2" l="1"/>
  <c r="S74" i="2"/>
  <c r="R64" i="2"/>
  <c r="R105" i="2" s="1"/>
  <c r="R107" i="2" l="1"/>
  <c r="R111" i="2" s="1"/>
  <c r="Q107" i="2"/>
  <c r="Q111" i="2" s="1"/>
  <c r="T74" i="2"/>
  <c r="T64" i="2" s="1"/>
  <c r="T105" i="2" s="1"/>
  <c r="S64" i="2"/>
  <c r="S105" i="2" s="1"/>
  <c r="S107" i="2" s="1"/>
  <c r="T107" i="2" l="1"/>
  <c r="T111" i="2" s="1"/>
  <c r="S111" i="2"/>
  <c r="W64" i="2"/>
  <c r="H53" i="2"/>
  <c r="K53" i="2" s="1"/>
  <c r="K22" i="2"/>
  <c r="K56" i="2" l="1"/>
  <c r="K55" i="2" s="1"/>
  <c r="K105" i="2" l="1"/>
  <c r="W55" i="2"/>
  <c r="K107" i="2" l="1"/>
  <c r="K168" i="2" s="1"/>
  <c r="W105" i="2"/>
  <c r="W107" i="2" l="1"/>
  <c r="K111" i="2"/>
  <c r="H134" i="2" l="1"/>
  <c r="K134" i="2" s="1"/>
  <c r="K136" i="2" s="1"/>
  <c r="L100" i="4" l="1"/>
  <c r="L156" i="4" l="1"/>
  <c r="L163" i="4" s="1"/>
  <c r="K192" i="4"/>
  <c r="L191" i="4" l="1"/>
  <c r="L192" i="4" s="1"/>
  <c r="L195" i="4" s="1"/>
  <c r="M187" i="4"/>
  <c r="M188" i="4" s="1"/>
  <c r="N100" i="4"/>
  <c r="N187" i="4" l="1"/>
  <c r="M191" i="4"/>
  <c r="M189" i="4"/>
  <c r="N188" i="4" s="1"/>
  <c r="N156" i="4"/>
  <c r="N189" i="4" l="1"/>
  <c r="O188" i="4" s="1"/>
  <c r="O187" i="4"/>
  <c r="M192" i="4"/>
  <c r="N191" i="4"/>
  <c r="N163" i="4"/>
  <c r="P100" i="4"/>
  <c r="O100" i="4"/>
  <c r="O104" i="4" l="1"/>
  <c r="O106" i="4" s="1"/>
  <c r="P187" i="4"/>
  <c r="N192" i="4"/>
  <c r="N195" i="4" s="1"/>
  <c r="O189" i="4"/>
  <c r="P194" i="4" s="1"/>
  <c r="O191" i="4"/>
  <c r="P156" i="4"/>
  <c r="O156" i="4"/>
  <c r="P188" i="4" l="1"/>
  <c r="Q187" i="4" s="1"/>
  <c r="O192" i="4"/>
  <c r="O195" i="4" s="1"/>
  <c r="P191" i="4"/>
  <c r="Q100" i="4"/>
  <c r="O163" i="4"/>
  <c r="P163" i="4"/>
  <c r="P189" i="4" l="1"/>
  <c r="Q188" i="4" s="1"/>
  <c r="R187" i="4" s="1"/>
  <c r="Q156" i="4"/>
  <c r="Q163" i="4" s="1"/>
  <c r="Q191" i="4"/>
  <c r="S100" i="4"/>
  <c r="T100" i="4"/>
  <c r="R100" i="4"/>
  <c r="Q189" i="4" l="1"/>
  <c r="R188" i="4" s="1"/>
  <c r="S187" i="4" s="1"/>
  <c r="P192" i="4"/>
  <c r="T156" i="4"/>
  <c r="T163" i="4" s="1"/>
  <c r="T104" i="4"/>
  <c r="T106" i="4" s="1"/>
  <c r="R191" i="4"/>
  <c r="S156" i="4"/>
  <c r="S163" i="4" s="1"/>
  <c r="R156" i="4"/>
  <c r="R189" i="4" l="1"/>
  <c r="S188" i="4" s="1"/>
  <c r="S189" i="4" s="1"/>
  <c r="Q192" i="4"/>
  <c r="S191" i="4"/>
  <c r="R163" i="4"/>
  <c r="K34" i="4"/>
  <c r="K83" i="4"/>
  <c r="K36" i="4" s="1"/>
  <c r="R192" i="4" l="1"/>
  <c r="S192" i="4"/>
  <c r="T188" i="4"/>
  <c r="T189" i="4" s="1"/>
  <c r="U194" i="4" s="1"/>
  <c r="K82" i="4"/>
  <c r="K89" i="4" s="1"/>
  <c r="H80" i="4"/>
  <c r="K80" i="4" s="1"/>
  <c r="T191" i="4" l="1"/>
  <c r="T192" i="4" s="1"/>
  <c r="U188" i="4"/>
  <c r="U189" i="4" s="1"/>
  <c r="U192" i="4" s="1"/>
  <c r="U195" i="4" s="1"/>
  <c r="K94" i="4"/>
  <c r="K92" i="4" s="1"/>
  <c r="K106" i="4" s="1"/>
  <c r="K195" i="4" l="1"/>
  <c r="K97" i="4"/>
  <c r="K98" i="4" l="1"/>
  <c r="K100" i="4"/>
  <c r="K156" i="4" l="1"/>
  <c r="K163" i="4" s="1"/>
  <c r="M84" i="4" l="1"/>
  <c r="M176" i="4" s="1"/>
  <c r="M171" i="4" s="1"/>
  <c r="M71" i="4"/>
  <c r="M86" i="4" l="1"/>
  <c r="W84" i="4" s="1"/>
  <c r="M82" i="4"/>
  <c r="M93" i="4"/>
  <c r="M102" i="4"/>
  <c r="W71" i="4"/>
  <c r="M89" i="4" l="1"/>
  <c r="M94" i="4" s="1"/>
  <c r="M92" i="4" s="1"/>
  <c r="W79" i="4"/>
  <c r="W87" i="4" l="1"/>
  <c r="W90" i="4"/>
  <c r="M106" i="4"/>
  <c r="K109" i="4" s="1"/>
  <c r="M97" i="4"/>
  <c r="M100" i="4" s="1"/>
  <c r="M98" i="4" l="1"/>
  <c r="W95" i="4" s="1"/>
  <c r="M156" i="4"/>
  <c r="M163" i="4" s="1"/>
  <c r="M195" i="4"/>
  <c r="K209" i="4" s="1"/>
  <c r="W98" i="4"/>
  <c r="K200" i="4" l="1"/>
  <c r="K203" i="4"/>
  <c r="K206" i="4" s="1"/>
</calcChain>
</file>

<file path=xl/sharedStrings.xml><?xml version="1.0" encoding="utf-8"?>
<sst xmlns="http://schemas.openxmlformats.org/spreadsheetml/2006/main" count="760" uniqueCount="309">
  <si>
    <t>Nono</t>
  </si>
  <si>
    <t>Number of units</t>
  </si>
  <si>
    <t>MW</t>
  </si>
  <si>
    <t>WE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</si>
  <si>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</si>
  <si>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</si>
  <si>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</si>
  <si>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</si>
  <si>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</si>
  <si>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</si>
  <si>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</si>
  <si>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</si>
  <si>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</si>
  <si>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</si>
  <si>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</si>
  <si>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</si>
  <si>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Occupancy</t>
  </si>
  <si>
    <t>Average Occupancy per Midweek and weekend (or special dates and holidays)</t>
  </si>
  <si>
    <t>Number of days per midweek/weekend Price</t>
  </si>
  <si>
    <t xml:space="preserve">Studio </t>
  </si>
  <si>
    <t>Studio French Balcony</t>
  </si>
  <si>
    <t>Superior Studio</t>
  </si>
  <si>
    <t>Studio with Terrace</t>
  </si>
  <si>
    <t>Triple Studio</t>
  </si>
  <si>
    <t>One Bedroom Apartment</t>
  </si>
  <si>
    <t>One Bedroom Terrace</t>
  </si>
  <si>
    <t>Two Bedroom Terrace</t>
  </si>
  <si>
    <t>Occupancy Yearly</t>
  </si>
  <si>
    <t>MONTHLY ADR</t>
  </si>
  <si>
    <t>INCOME YEARLY</t>
  </si>
  <si>
    <t>Euros</t>
  </si>
  <si>
    <t>OCC YEARLY</t>
  </si>
  <si>
    <t>ADR YEARLY</t>
  </si>
  <si>
    <t>Figures incl VAT</t>
  </si>
  <si>
    <t>Number of opened days</t>
  </si>
  <si>
    <t>Units</t>
  </si>
  <si>
    <t>ADR</t>
  </si>
  <si>
    <t>Revenue</t>
  </si>
  <si>
    <t>Expenses</t>
  </si>
  <si>
    <t>Lease to Charming Stay</t>
  </si>
  <si>
    <t>Variable lease</t>
  </si>
  <si>
    <t>NOI</t>
  </si>
  <si>
    <t>IPC</t>
  </si>
  <si>
    <t>GROWTH</t>
  </si>
  <si>
    <t>Fix min. Lease x apartment</t>
  </si>
  <si>
    <t>/rev</t>
  </si>
  <si>
    <t>Fix minimum lease</t>
  </si>
  <si>
    <t>Peña</t>
  </si>
  <si>
    <t>Template</t>
  </si>
  <si>
    <t>Asaf Assumption</t>
  </si>
  <si>
    <t>% Average occupancy</t>
  </si>
  <si>
    <t>NOI after inv.</t>
  </si>
  <si>
    <t>Asset Manager</t>
  </si>
  <si>
    <t>Cleaning</t>
  </si>
  <si>
    <t>Housekeeper Payroll</t>
  </si>
  <si>
    <t>Cleaning cost payroll</t>
  </si>
  <si>
    <t>Other cleaning + products</t>
  </si>
  <si>
    <t>Maintenance</t>
  </si>
  <si>
    <t>Elevator maintenance</t>
  </si>
  <si>
    <t>Maintenance cost payroll</t>
  </si>
  <si>
    <t>Maintenance expenses</t>
  </si>
  <si>
    <t>Marketing</t>
  </si>
  <si>
    <t>Marketing Expenses</t>
  </si>
  <si>
    <t>Experience payroll</t>
  </si>
  <si>
    <t>Experience expenses</t>
  </si>
  <si>
    <t>Experience insurance</t>
  </si>
  <si>
    <t>Others</t>
  </si>
  <si>
    <t>Amenities</t>
  </si>
  <si>
    <t>Fire System</t>
  </si>
  <si>
    <t>Insurances</t>
  </si>
  <si>
    <t>Taxes</t>
  </si>
  <si>
    <t>Duve</t>
  </si>
  <si>
    <t>Mews software</t>
  </si>
  <si>
    <t>Stripe fees</t>
  </si>
  <si>
    <t>Bank fees</t>
  </si>
  <si>
    <t>Labour consulting</t>
  </si>
  <si>
    <t>Occupational risk prevention</t>
  </si>
  <si>
    <t>Supplies</t>
  </si>
  <si>
    <t>Lights supply</t>
  </si>
  <si>
    <t>Water supply</t>
  </si>
  <si>
    <t>Wifi and phone supply</t>
  </si>
  <si>
    <t>Reception</t>
  </si>
  <si>
    <t>Bar</t>
  </si>
  <si>
    <t>Laundry</t>
  </si>
  <si>
    <t>OTA's</t>
  </si>
  <si>
    <t>Revenue Manager</t>
  </si>
  <si>
    <t>Channel Manager Software</t>
  </si>
  <si>
    <t>Fees Excellation (Asaf)</t>
  </si>
  <si>
    <t>N</t>
  </si>
  <si>
    <t>NOMINAL</t>
  </si>
  <si>
    <t>W</t>
  </si>
  <si>
    <t>WEIGHTS/REV</t>
  </si>
  <si>
    <t>R</t>
  </si>
  <si>
    <t>RATIOS</t>
  </si>
  <si>
    <t>W/SB REV.</t>
  </si>
  <si>
    <t>W/B. REV.</t>
  </si>
  <si>
    <t>W/Exp. Rev</t>
  </si>
  <si>
    <t>Rooftop bar rent</t>
  </si>
  <si>
    <t>Bartola</t>
  </si>
  <si>
    <t>Bed revenue</t>
  </si>
  <si>
    <t>Rooftop bar</t>
  </si>
  <si>
    <t>F&amp;B Bartola</t>
  </si>
  <si>
    <t>Experiences</t>
  </si>
  <si>
    <t>Bartender payroll</t>
  </si>
  <si>
    <t>Rooftop F&amp;B costs</t>
  </si>
  <si>
    <t>W/Roof rev.</t>
  </si>
  <si>
    <t>Website</t>
  </si>
  <si>
    <t>Booking, Expedia, Airbnb</t>
  </si>
  <si>
    <t>Walk-in</t>
  </si>
  <si>
    <t>W/Bart. Rev.</t>
  </si>
  <si>
    <t>Total nights sold</t>
  </si>
  <si>
    <t>Employees</t>
  </si>
  <si>
    <t>Impact for Bartola NOI</t>
  </si>
  <si>
    <t>Great impact to Experiences P&amp;L</t>
  </si>
  <si>
    <t>Grace-Months</t>
  </si>
  <si>
    <t>Inv x Space</t>
  </si>
  <si>
    <t>Common areas</t>
  </si>
  <si>
    <t>Bar-F&amp;B investment</t>
  </si>
  <si>
    <t>FF&amp;E Replacement</t>
  </si>
  <si>
    <t>Final FCF</t>
  </si>
  <si>
    <t>Monthly</t>
  </si>
  <si>
    <t>Parking</t>
  </si>
  <si>
    <t>Rooftop Bar NOI</t>
  </si>
  <si>
    <t>Roftop Bar P&amp;L</t>
  </si>
  <si>
    <t>Total inv .</t>
  </si>
  <si>
    <t>Inv. x unit</t>
  </si>
  <si>
    <t>Total investment</t>
  </si>
  <si>
    <t>NOI (Complete building)</t>
  </si>
  <si>
    <t>Variable lease (F&amp;B Bartola)</t>
  </si>
  <si>
    <t>APTS guarantee</t>
  </si>
  <si>
    <t>Rooftop guarantee</t>
  </si>
  <si>
    <r>
      <t xml:space="preserve">Final FCF </t>
    </r>
    <r>
      <rPr>
        <b/>
        <i/>
        <sz val="10"/>
        <color rgb="FF1F5B63"/>
        <rFont val="Montserrat"/>
      </rPr>
      <t>(Combined)</t>
    </r>
  </si>
  <si>
    <t>Fix minimum lease- APTS</t>
  </si>
  <si>
    <t>Fix minimum lease- Rooftop</t>
  </si>
  <si>
    <t>Variable lease- APTS</t>
  </si>
  <si>
    <t>Variable lease- Rooftop</t>
  </si>
  <si>
    <t>x Apt</t>
  </si>
  <si>
    <t xml:space="preserve">F&amp;B </t>
  </si>
  <si>
    <t>Months operating</t>
  </si>
  <si>
    <t>Lease</t>
  </si>
  <si>
    <t>TOTAL</t>
  </si>
  <si>
    <t>P&amp;L</t>
  </si>
  <si>
    <t>Ops start year</t>
  </si>
  <si>
    <t>Loan start year</t>
  </si>
  <si>
    <t>% LTC</t>
  </si>
  <si>
    <t>Grace Period</t>
  </si>
  <si>
    <t>Interest Rate</t>
  </si>
  <si>
    <t>One-Time Fee</t>
  </si>
  <si>
    <t>BANK LOAN</t>
  </si>
  <si>
    <t>Year</t>
  </si>
  <si>
    <t>Original Loan Term</t>
  </si>
  <si>
    <t>Exit year</t>
  </si>
  <si>
    <t>Bank Loan Draws</t>
  </si>
  <si>
    <t>% of Year 1</t>
  </si>
  <si>
    <t>Cumulative Bank Loans Draws</t>
  </si>
  <si>
    <t>Bank Loan Debt Balance</t>
  </si>
  <si>
    <t>Principal repayment</t>
  </si>
  <si>
    <t>One-Time Finance Fee</t>
  </si>
  <si>
    <t>Cap Rate</t>
  </si>
  <si>
    <t>Interest</t>
  </si>
  <si>
    <t>EBITDA multiplier</t>
  </si>
  <si>
    <t>Total Debt Service - Bank Loan</t>
  </si>
  <si>
    <t>Debt Repayment</t>
  </si>
  <si>
    <t>Levered Cashflow</t>
  </si>
  <si>
    <t>CoC</t>
  </si>
  <si>
    <t>MOIC</t>
  </si>
  <si>
    <t>Ops start date</t>
  </si>
  <si>
    <t>First year ADR</t>
  </si>
  <si>
    <t>Management fee</t>
  </si>
  <si>
    <t>GOP</t>
  </si>
  <si>
    <t>Gross sale</t>
  </si>
  <si>
    <t>sqm</t>
  </si>
  <si>
    <t>€/sqm</t>
  </si>
  <si>
    <t>Hard cost</t>
  </si>
  <si>
    <t>Soft cost</t>
  </si>
  <si>
    <t>FF&amp;E</t>
  </si>
  <si>
    <t>Planta</t>
  </si>
  <si>
    <t>Apartamento</t>
  </si>
  <si>
    <t>Superficie útil (m²)</t>
  </si>
  <si>
    <t>1ª planta</t>
  </si>
  <si>
    <t>A</t>
  </si>
  <si>
    <t>B</t>
  </si>
  <si>
    <t>2ª planta</t>
  </si>
  <si>
    <t>3ª planta</t>
  </si>
  <si>
    <t>Ático</t>
  </si>
  <si>
    <t>C</t>
  </si>
  <si>
    <t>Superficie construida (m²)</t>
  </si>
  <si>
    <t>Planta baja</t>
  </si>
  <si>
    <t>sin zonas comunes</t>
  </si>
  <si>
    <t>local comercial</t>
  </si>
  <si>
    <t>??</t>
  </si>
  <si>
    <t>Ratios personal</t>
  </si>
  <si>
    <t>Real</t>
  </si>
  <si>
    <t>Recepción Hostels</t>
  </si>
  <si>
    <t>Recepción TA</t>
  </si>
  <si>
    <t>x unit in Hostels</t>
  </si>
  <si>
    <t>x apt</t>
  </si>
  <si>
    <t>Cleaners</t>
  </si>
  <si>
    <t>Total</t>
  </si>
  <si>
    <t>Floor</t>
  </si>
  <si>
    <t>Standard Rooms</t>
  </si>
  <si>
    <t>Suites</t>
  </si>
  <si>
    <t>Total Rooms</t>
  </si>
  <si>
    <t>First Floor</t>
  </si>
  <si>
    <t>Second Floor</t>
  </si>
  <si>
    <t>Third Floor</t>
  </si>
  <si>
    <t>Fourth Floor</t>
  </si>
  <si>
    <t>Penthouse</t>
  </si>
  <si>
    <t>FF&amp;E x apt</t>
  </si>
  <si>
    <t>Hospitality form</t>
  </si>
  <si>
    <t>Building type</t>
  </si>
  <si>
    <t>Bank loan needed</t>
  </si>
  <si>
    <t>YES, NO</t>
  </si>
  <si>
    <t>Building situation</t>
  </si>
  <si>
    <t>Building luxury standards</t>
  </si>
  <si>
    <t>Exact location</t>
  </si>
  <si>
    <t>Operation</t>
  </si>
  <si>
    <t>Management/Lease</t>
  </si>
  <si>
    <t>Management, Lease (poner una explicación clara de cada una)</t>
  </si>
  <si>
    <t>Exit strategy</t>
  </si>
  <si>
    <t>NO, 2028, 2029, 2030…</t>
  </si>
  <si>
    <t>Building type:</t>
  </si>
  <si>
    <t>Hostel</t>
  </si>
  <si>
    <t>TA</t>
  </si>
  <si>
    <t>Hostels</t>
  </si>
  <si>
    <t>He añadido un if que afecta al lease y a las expenses</t>
  </si>
  <si>
    <t>Renovated</t>
  </si>
  <si>
    <t>Partially renovated</t>
  </si>
  <si>
    <t>Pending to be renovated</t>
  </si>
  <si>
    <t>Not built</t>
  </si>
  <si>
    <t>Añadir una fórmula en que tengas que poner x hardcost por m2, x softcost por m2 según esta respuesta. Y en caso de que sea not built el coste de construcción m2 depende de la localización, y habría que preguntarle a chatgpt</t>
  </si>
  <si>
    <t>5 (5 star hotel level)</t>
  </si>
  <si>
    <t>Loan start date</t>
  </si>
  <si>
    <t>Expected loan start date</t>
  </si>
  <si>
    <t>Management</t>
  </si>
  <si>
    <t>Ov. Inc</t>
  </si>
  <si>
    <t>Ov. GOP</t>
  </si>
  <si>
    <t>FORMULADO</t>
  </si>
  <si>
    <t>PDTE</t>
  </si>
  <si>
    <t>Buildable m2</t>
  </si>
  <si>
    <t>Building status</t>
  </si>
  <si>
    <t>Bank loan</t>
  </si>
  <si>
    <t>No</t>
  </si>
  <si>
    <t>Luxury Hotel</t>
  </si>
  <si>
    <t>Restaurante</t>
  </si>
  <si>
    <t>Oficina equipada edificio exclusivo</t>
  </si>
  <si>
    <t>Local comercial con acabados</t>
  </si>
  <si>
    <t>Pensiones, hostales, albergues</t>
  </si>
  <si>
    <t>Hotel 1 estrella</t>
  </si>
  <si>
    <t>Hotel 2 estrellas</t>
  </si>
  <si>
    <t>Hotel 3 estrellas</t>
  </si>
  <si>
    <t>Hotel 4 estrellas</t>
  </si>
  <si>
    <t>Hotel 5 estrellas</t>
  </si>
  <si>
    <t>Vivienda plurifamiliar aislada</t>
  </si>
  <si>
    <t>Vivienda plurifamiliar medianera</t>
  </si>
  <si>
    <t>Vivienda unifamiliar aislada</t>
  </si>
  <si>
    <t>Vivienda unifamiliar adosada</t>
  </si>
  <si>
    <t>Coste total estimado €/m² (media ×1.35)</t>
  </si>
  <si>
    <t>PEC €/m² (media ×1.2)</t>
  </si>
  <si>
    <t>PEM €/m² (calidad alta +50%)</t>
  </si>
  <si>
    <t>PEM €/m² (calidad baja -20%)</t>
  </si>
  <si>
    <t>PEM €/m² (calidad media)</t>
  </si>
  <si>
    <t>Tipo de construcción</t>
  </si>
  <si>
    <t>Tipo personalizado</t>
  </si>
  <si>
    <t>Tipo oficial COA</t>
  </si>
  <si>
    <t>4 star Hotel</t>
  </si>
  <si>
    <t>3 star Hotel</t>
  </si>
  <si>
    <t>"Based on client"</t>
  </si>
  <si>
    <t>Room type 1</t>
  </si>
  <si>
    <t>Room type 2</t>
  </si>
  <si>
    <t>Room type 3</t>
  </si>
  <si>
    <t>Room type 4</t>
  </si>
  <si>
    <t>To get it from Chat GPT</t>
  </si>
  <si>
    <t>Construction project</t>
  </si>
  <si>
    <t>Rooms/Units</t>
  </si>
  <si>
    <t>F&amp;B over Rev</t>
  </si>
  <si>
    <t>OPEX over Rev</t>
  </si>
  <si>
    <t>Other</t>
  </si>
  <si>
    <t>% over Incomes</t>
  </si>
  <si>
    <t>% over GOP</t>
  </si>
  <si>
    <t>Equity</t>
  </si>
  <si>
    <t>YES/NO</t>
  </si>
  <si>
    <t>Yes</t>
  </si>
  <si>
    <t>Purchase price</t>
  </si>
  <si>
    <t>Tipo de producto</t>
  </si>
  <si>
    <t>m2 mínimos por unidad</t>
  </si>
  <si>
    <t>m2 máximos por unidad</t>
  </si>
  <si>
    <t>Average m2</t>
  </si>
  <si>
    <t>Pendiente de link Occ%</t>
  </si>
  <si>
    <t>Un- Levered IRR</t>
  </si>
  <si>
    <t>Levered IRR</t>
  </si>
  <si>
    <t>Distribución de la compra en años</t>
  </si>
  <si>
    <t>Inversión inicial</t>
  </si>
  <si>
    <t>Distribución Hard cost, Soft cost y FF&amp;E</t>
  </si>
  <si>
    <t>Inv. Total</t>
  </si>
  <si>
    <t>Compra</t>
  </si>
  <si>
    <t>Desarrollo</t>
  </si>
  <si>
    <t>Precio de compra</t>
  </si>
  <si>
    <t>Abogados</t>
  </si>
  <si>
    <t>Notaría</t>
  </si>
  <si>
    <t>ITP</t>
  </si>
  <si>
    <t>Occupanct</t>
  </si>
  <si>
    <t>Detalles básicos de operación</t>
  </si>
  <si>
    <t>Año de inicio de operación</t>
  </si>
  <si>
    <t>Tipo de operación</t>
  </si>
  <si>
    <t>Management agreement o alquiler</t>
  </si>
  <si>
    <t>Número de unidades</t>
  </si>
  <si>
    <t>Parking ov Rev</t>
  </si>
  <si>
    <t>Exp ov.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</si>
</sst>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_-;\-* #,##0.0_-;_-* &quot;-&quot;??_-;_-@_-"/>
    <numFmt numFmtId="167" formatCode="#,##0.0"/>
    <numFmt numFmtId="168" formatCode="#,##0_ ;[Red]\-#,##0\ "/>
  </numFmts>
  <fonts count="6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trike/>
      <sz val="10"/>
      <color rgb="FF00000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Montserrat"/>
    </font>
    <font>
      <i/>
      <sz val="14"/>
      <color theme="0"/>
      <name val="Montserrat"/>
    </font>
    <font>
      <sz val="11"/>
      <color theme="0" tint="-0.34998626667073579"/>
      <name val="Montserrat"/>
    </font>
    <font>
      <sz val="11"/>
      <color theme="1"/>
      <name val="Montserrat"/>
    </font>
    <font>
      <i/>
      <sz val="14"/>
      <color theme="1"/>
      <name val="Montserrat"/>
    </font>
    <font>
      <sz val="10"/>
      <color rgb="FF1F5B63"/>
      <name val="Montserrat"/>
    </font>
    <font>
      <i/>
      <sz val="10"/>
      <color rgb="FF1F5B63"/>
      <name val="Montserrat"/>
    </font>
    <font>
      <b/>
      <i/>
      <sz val="12"/>
      <color rgb="FF1F5B63"/>
      <name val="Montserrat"/>
    </font>
    <font>
      <b/>
      <i/>
      <sz val="10"/>
      <color rgb="FF1F5B63"/>
      <name val="Montserrat"/>
    </font>
    <font>
      <b/>
      <sz val="10"/>
      <color rgb="FF1F5B63"/>
      <name val="Montserrat"/>
    </font>
    <font>
      <b/>
      <sz val="10"/>
      <color rgb="FF000000"/>
      <name val="Arial"/>
      <family val="2"/>
      <scheme val="minor"/>
    </font>
    <font>
      <sz val="10"/>
      <color rgb="FF1F5B63"/>
      <name val="Arial"/>
      <family val="2"/>
      <scheme val="minor"/>
    </font>
    <font>
      <sz val="10"/>
      <color theme="4"/>
      <name val="Montserrat"/>
    </font>
    <font>
      <sz val="10"/>
      <color theme="2" tint="-0.14999847407452621"/>
      <name val="Arial"/>
      <family val="2"/>
      <scheme val="minor"/>
    </font>
    <font>
      <sz val="10"/>
      <color theme="2" tint="-0.14999847407452621"/>
      <name val="Montserrat"/>
    </font>
    <font>
      <b/>
      <sz val="10"/>
      <color theme="4"/>
      <name val="Arial"/>
      <family val="2"/>
      <scheme val="minor"/>
    </font>
    <font>
      <b/>
      <sz val="10"/>
      <color rgb="FF000000"/>
      <name val="Montserrat"/>
    </font>
    <font>
      <b/>
      <sz val="11"/>
      <color theme="0" tint="-0.34998626667073579"/>
      <name val="Montserrat"/>
    </font>
    <font>
      <b/>
      <sz val="8"/>
      <color rgb="FF1F5B63"/>
      <name val="Montserrat"/>
    </font>
    <font>
      <b/>
      <sz val="10"/>
      <color theme="3"/>
      <name val="Arial"/>
      <family val="2"/>
      <scheme val="minor"/>
    </font>
    <font>
      <i/>
      <sz val="9"/>
      <color rgb="FF1F5B63"/>
      <name val="Montserrat"/>
    </font>
    <font>
      <b/>
      <sz val="11"/>
      <color rgb="FFC5E8ED"/>
      <name val="Montserrat"/>
    </font>
    <font>
      <b/>
      <sz val="9"/>
      <color rgb="FF1F5B63"/>
      <name val="Montserrat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i/>
      <sz val="10"/>
      <color theme="1" tint="0.499984740745262"/>
      <name val="Arial"/>
      <family val="2"/>
      <scheme val="minor"/>
    </font>
    <font>
      <b/>
      <i/>
      <sz val="12"/>
      <color rgb="FFC5E8ED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rgb="FFFF0000"/>
      <name val="Montserrat"/>
    </font>
    <font>
      <sz val="10"/>
      <color theme="7"/>
      <name val="Arial"/>
      <family val="2"/>
      <scheme val="minor"/>
    </font>
    <font>
      <sz val="10"/>
      <color theme="5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color theme="4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2"/>
      <name val="Montserrat"/>
    </font>
    <font>
      <b/>
      <i/>
      <sz val="12"/>
      <color theme="1"/>
      <name val="Montserrat"/>
    </font>
    <font>
      <b/>
      <sz val="10"/>
      <color theme="1"/>
      <name val="Montserrat"/>
    </font>
    <font>
      <b/>
      <sz val="11"/>
      <color theme="1"/>
      <name val="Montserrat"/>
    </font>
    <font>
      <b/>
      <sz val="9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b/>
      <i/>
      <sz val="11"/>
      <name val="Montserrat"/>
    </font>
    <font>
      <sz val="10"/>
      <color theme="6"/>
      <name val="Montserrat"/>
    </font>
    <font>
      <sz val="11"/>
      <name val="Montserrat"/>
    </font>
    <font>
      <b/>
      <sz val="11"/>
      <name val="Montserrat"/>
    </font>
    <font>
      <sz val="10"/>
      <color theme="0" tint="-0.34998626667073579"/>
      <name val="Montserrat"/>
    </font>
    <font>
      <i/>
      <sz val="10"/>
      <color theme="0" tint="-0.34998626667073579"/>
      <name val="Montserrat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5E8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5B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5E8ED"/>
      </left>
      <right style="thin">
        <color rgb="FFC5E8ED"/>
      </right>
      <top style="thin">
        <color rgb="FFC5E8ED"/>
      </top>
      <bottom style="thin">
        <color rgb="FFC5E8ED"/>
      </bottom>
      <diagonal/>
    </border>
    <border>
      <left/>
      <right/>
      <top/>
      <bottom style="thin">
        <color rgb="FFC5E8ED"/>
      </bottom>
      <diagonal/>
    </border>
    <border>
      <left/>
      <right/>
      <top style="thin">
        <color rgb="FFC5E8ED"/>
      </top>
      <bottom/>
      <diagonal/>
    </border>
    <border>
      <left style="thin">
        <color rgb="FFC5E8ED"/>
      </left>
      <right/>
      <top/>
      <bottom/>
      <diagonal/>
    </border>
    <border>
      <left style="thin">
        <color rgb="FFC5E8ED"/>
      </left>
      <right/>
      <top style="thin">
        <color rgb="FFC5E8ED"/>
      </top>
      <bottom/>
      <diagonal/>
    </border>
    <border>
      <left style="thin">
        <color rgb="FFC5E8ED"/>
      </left>
      <right/>
      <top/>
      <bottom style="thin">
        <color rgb="FFC5E8ED"/>
      </bottom>
      <diagonal/>
    </border>
    <border>
      <left/>
      <right/>
      <top style="thin">
        <color rgb="FFC5E8ED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1F5B63"/>
      </left>
      <right style="thin">
        <color rgb="FF1F5B63"/>
      </right>
      <top style="thin">
        <color rgb="FF1F5B63"/>
      </top>
      <bottom/>
      <diagonal/>
    </border>
    <border>
      <left style="thin">
        <color rgb="FF1F5B63"/>
      </left>
      <right style="thin">
        <color rgb="FF1F5B63"/>
      </right>
      <top/>
      <bottom/>
      <diagonal/>
    </border>
    <border>
      <left style="thin">
        <color rgb="FF1F5B63"/>
      </left>
      <right/>
      <top/>
      <bottom/>
      <diagonal/>
    </border>
    <border>
      <left/>
      <right style="thin">
        <color rgb="FFC5E8ED"/>
      </right>
      <top/>
      <bottom/>
      <diagonal/>
    </border>
    <border>
      <left/>
      <right/>
      <top style="thin">
        <color rgb="FFC5E8ED"/>
      </top>
      <bottom style="thin">
        <color rgb="FFC5E8ED"/>
      </bottom>
      <diagonal/>
    </border>
    <border>
      <left/>
      <right/>
      <top style="thin">
        <color rgb="FFC5E8ED"/>
      </top>
      <bottom style="medium">
        <color rgb="FFC5E8ED"/>
      </bottom>
      <diagonal/>
    </border>
    <border>
      <left/>
      <right style="thin">
        <color rgb="FFC5E8ED"/>
      </right>
      <top style="thin">
        <color rgb="FFC5E8ED"/>
      </top>
      <bottom/>
      <diagonal/>
    </border>
    <border>
      <left/>
      <right style="thin">
        <color rgb="FFC5E8ED"/>
      </right>
      <top/>
      <bottom style="thin">
        <color rgb="FFC5E8ED"/>
      </bottom>
      <diagonal/>
    </border>
    <border>
      <left/>
      <right/>
      <top style="thin">
        <color rgb="FF1F5B63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3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3" xfId="0" applyNumberFormat="1" applyFont="1" applyBorder="1" applyAlignment="1">
      <alignment horizontal="right"/>
    </xf>
    <xf numFmtId="9" fontId="4" fillId="0" borderId="4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9" fillId="0" borderId="0" xfId="0" applyFont="1"/>
    <xf numFmtId="0" fontId="4" fillId="0" borderId="0" xfId="0" applyFont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1" fontId="4" fillId="2" borderId="3" xfId="0" applyNumberFormat="1" applyFont="1" applyFill="1" applyBorder="1" applyAlignment="1">
      <alignment horizontal="right"/>
    </xf>
    <xf numFmtId="1" fontId="4" fillId="2" borderId="4" xfId="0" applyNumberFormat="1" applyFont="1" applyFill="1" applyBorder="1" applyAlignment="1">
      <alignment horizontal="right"/>
    </xf>
    <xf numFmtId="0" fontId="9" fillId="0" borderId="0" xfId="0" applyFont="1" applyAlignment="1">
      <alignment wrapText="1"/>
    </xf>
    <xf numFmtId="1" fontId="4" fillId="0" borderId="3" xfId="0" applyNumberFormat="1" applyFont="1" applyBorder="1" applyAlignment="1">
      <alignment horizontal="right"/>
    </xf>
    <xf numFmtId="1" fontId="4" fillId="0" borderId="4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164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1" fontId="4" fillId="0" borderId="0" xfId="0" applyNumberFormat="1" applyFont="1"/>
    <xf numFmtId="0" fontId="4" fillId="3" borderId="0" xfId="0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right"/>
    </xf>
    <xf numFmtId="0" fontId="4" fillId="4" borderId="0" xfId="0" applyFont="1" applyFill="1"/>
    <xf numFmtId="10" fontId="4" fillId="4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2" fontId="10" fillId="4" borderId="0" xfId="0" applyNumberFormat="1" applyFont="1" applyFill="1"/>
    <xf numFmtId="0" fontId="11" fillId="0" borderId="0" xfId="0" applyFont="1"/>
    <xf numFmtId="9" fontId="10" fillId="0" borderId="0" xfId="0" applyNumberFormat="1" applyFont="1"/>
    <xf numFmtId="10" fontId="7" fillId="0" borderId="0" xfId="0" applyNumberFormat="1" applyFont="1"/>
    <xf numFmtId="0" fontId="0" fillId="0" borderId="8" xfId="0" applyBorder="1"/>
    <xf numFmtId="0" fontId="0" fillId="0" borderId="9" xfId="0" applyBorder="1"/>
    <xf numFmtId="0" fontId="7" fillId="0" borderId="0" xfId="0" applyFont="1" applyAlignment="1">
      <alignment horizontal="right"/>
    </xf>
    <xf numFmtId="9" fontId="12" fillId="5" borderId="0" xfId="0" applyNumberFormat="1" applyFont="1" applyFill="1"/>
    <xf numFmtId="2" fontId="12" fillId="5" borderId="0" xfId="0" applyNumberFormat="1" applyFont="1" applyFill="1"/>
    <xf numFmtId="9" fontId="13" fillId="0" borderId="0" xfId="0" applyNumberFormat="1" applyFont="1"/>
    <xf numFmtId="4" fontId="12" fillId="5" borderId="0" xfId="0" applyNumberFormat="1" applyFont="1" applyFill="1" applyAlignment="1">
      <alignment horizontal="right"/>
    </xf>
    <xf numFmtId="4" fontId="12" fillId="0" borderId="0" xfId="0" applyNumberFormat="1" applyFont="1" applyAlignment="1">
      <alignment horizontal="right"/>
    </xf>
    <xf numFmtId="9" fontId="13" fillId="0" borderId="0" xfId="0" applyNumberFormat="1" applyFont="1" applyAlignment="1">
      <alignment horizontal="right"/>
    </xf>
    <xf numFmtId="0" fontId="14" fillId="0" borderId="9" xfId="0" applyFont="1" applyBorder="1"/>
    <xf numFmtId="0" fontId="14" fillId="0" borderId="0" xfId="0" applyFont="1"/>
    <xf numFmtId="0" fontId="15" fillId="0" borderId="0" xfId="0" applyFont="1" applyAlignment="1">
      <alignment horizontal="right"/>
    </xf>
    <xf numFmtId="10" fontId="16" fillId="0" borderId="0" xfId="2" applyNumberFormat="1" applyFont="1" applyBorder="1"/>
    <xf numFmtId="10" fontId="17" fillId="0" borderId="0" xfId="2" applyNumberFormat="1" applyFont="1" applyBorder="1"/>
    <xf numFmtId="0" fontId="18" fillId="0" borderId="0" xfId="0" applyFont="1" applyAlignment="1">
      <alignment horizontal="right"/>
    </xf>
    <xf numFmtId="4" fontId="16" fillId="0" borderId="0" xfId="2" applyNumberFormat="1" applyFont="1" applyBorder="1"/>
    <xf numFmtId="165" fontId="14" fillId="0" borderId="0" xfId="1" applyNumberFormat="1" applyFont="1"/>
    <xf numFmtId="0" fontId="14" fillId="0" borderId="8" xfId="0" applyFont="1" applyBorder="1"/>
    <xf numFmtId="165" fontId="14" fillId="0" borderId="8" xfId="1" applyNumberFormat="1" applyFont="1" applyBorder="1"/>
    <xf numFmtId="0" fontId="14" fillId="8" borderId="0" xfId="0" applyFont="1" applyFill="1" applyAlignment="1">
      <alignment horizontal="right"/>
    </xf>
    <xf numFmtId="0" fontId="14" fillId="8" borderId="0" xfId="0" applyFont="1" applyFill="1"/>
    <xf numFmtId="165" fontId="19" fillId="0" borderId="0" xfId="1" applyNumberFormat="1" applyFont="1"/>
    <xf numFmtId="0" fontId="20" fillId="0" borderId="0" xfId="0" applyFont="1" applyAlignment="1">
      <alignment horizontal="right"/>
    </xf>
    <xf numFmtId="0" fontId="21" fillId="6" borderId="0" xfId="0" applyFont="1" applyFill="1" applyAlignment="1">
      <alignment horizontal="right"/>
    </xf>
    <xf numFmtId="164" fontId="12" fillId="5" borderId="0" xfId="0" applyNumberFormat="1" applyFont="1" applyFill="1" applyAlignment="1">
      <alignment horizontal="right"/>
    </xf>
    <xf numFmtId="165" fontId="19" fillId="0" borderId="7" xfId="1" applyNumberFormat="1" applyFont="1" applyBorder="1"/>
    <xf numFmtId="0" fontId="12" fillId="5" borderId="0" xfId="0" applyFont="1" applyFill="1"/>
    <xf numFmtId="10" fontId="19" fillId="0" borderId="0" xfId="2" applyNumberFormat="1" applyFont="1" applyBorder="1"/>
    <xf numFmtId="0" fontId="22" fillId="0" borderId="0" xfId="0" applyFont="1" applyAlignment="1">
      <alignment horizontal="right"/>
    </xf>
    <xf numFmtId="165" fontId="23" fillId="0" borderId="0" xfId="1" applyNumberFormat="1" applyFont="1"/>
    <xf numFmtId="165" fontId="19" fillId="0" borderId="0" xfId="1" applyNumberFormat="1" applyFont="1" applyBorder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19" fillId="0" borderId="10" xfId="0" applyFont="1" applyBorder="1"/>
    <xf numFmtId="0" fontId="25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166" fontId="19" fillId="0" borderId="7" xfId="1" applyNumberFormat="1" applyFont="1" applyBorder="1"/>
    <xf numFmtId="166" fontId="19" fillId="6" borderId="7" xfId="1" applyNumberFormat="1" applyFont="1" applyFill="1" applyBorder="1"/>
    <xf numFmtId="167" fontId="19" fillId="0" borderId="10" xfId="0" applyNumberFormat="1" applyFont="1" applyBorder="1"/>
    <xf numFmtId="9" fontId="19" fillId="0" borderId="7" xfId="1" applyNumberFormat="1" applyFont="1" applyBorder="1"/>
    <xf numFmtId="164" fontId="19" fillId="0" borderId="7" xfId="1" applyNumberFormat="1" applyFont="1" applyBorder="1"/>
    <xf numFmtId="9" fontId="19" fillId="0" borderId="7" xfId="2" applyFont="1" applyBorder="1"/>
    <xf numFmtId="164" fontId="19" fillId="0" borderId="7" xfId="2" applyNumberFormat="1" applyFont="1" applyBorder="1"/>
    <xf numFmtId="167" fontId="26" fillId="5" borderId="10" xfId="0" applyNumberFormat="1" applyFont="1" applyFill="1" applyBorder="1"/>
    <xf numFmtId="166" fontId="26" fillId="5" borderId="7" xfId="1" applyNumberFormat="1" applyFont="1" applyFill="1" applyBorder="1"/>
    <xf numFmtId="164" fontId="26" fillId="5" borderId="7" xfId="2" applyNumberFormat="1" applyFont="1" applyFill="1" applyBorder="1"/>
    <xf numFmtId="0" fontId="27" fillId="0" borderId="0" xfId="0" applyFont="1"/>
    <xf numFmtId="0" fontId="28" fillId="0" borderId="10" xfId="0" applyFont="1" applyBorder="1"/>
    <xf numFmtId="0" fontId="28" fillId="0" borderId="0" xfId="0" applyFont="1"/>
    <xf numFmtId="165" fontId="28" fillId="0" borderId="0" xfId="1" applyNumberFormat="1" applyFont="1"/>
    <xf numFmtId="0" fontId="28" fillId="0" borderId="0" xfId="0" applyFont="1" applyAlignment="1">
      <alignment horizontal="right"/>
    </xf>
    <xf numFmtId="0" fontId="24" fillId="0" borderId="0" xfId="0" applyFont="1"/>
    <xf numFmtId="9" fontId="29" fillId="0" borderId="0" xfId="0" applyNumberFormat="1" applyFont="1"/>
    <xf numFmtId="0" fontId="23" fillId="0" borderId="10" xfId="0" applyFont="1" applyBorder="1"/>
    <xf numFmtId="0" fontId="30" fillId="0" borderId="0" xfId="0" applyFont="1"/>
    <xf numFmtId="10" fontId="31" fillId="0" borderId="0" xfId="2" applyNumberFormat="1" applyFont="1" applyBorder="1"/>
    <xf numFmtId="2" fontId="29" fillId="0" borderId="0" xfId="0" applyNumberFormat="1" applyFont="1"/>
    <xf numFmtId="4" fontId="31" fillId="0" borderId="0" xfId="2" applyNumberFormat="1" applyFont="1" applyBorder="1"/>
    <xf numFmtId="165" fontId="23" fillId="7" borderId="0" xfId="1" applyNumberFormat="1" applyFont="1" applyFill="1"/>
    <xf numFmtId="0" fontId="32" fillId="0" borderId="10" xfId="0" applyFont="1" applyBorder="1"/>
    <xf numFmtId="9" fontId="33" fillId="0" borderId="0" xfId="0" applyNumberFormat="1" applyFont="1"/>
    <xf numFmtId="165" fontId="23" fillId="7" borderId="10" xfId="0" applyNumberFormat="1" applyFont="1" applyFill="1" applyBorder="1"/>
    <xf numFmtId="9" fontId="23" fillId="7" borderId="10" xfId="0" applyNumberFormat="1" applyFont="1" applyFill="1" applyBorder="1"/>
    <xf numFmtId="0" fontId="34" fillId="9" borderId="0" xfId="0" applyFont="1" applyFill="1" applyAlignment="1">
      <alignment horizontal="right"/>
    </xf>
    <xf numFmtId="0" fontId="14" fillId="0" borderId="13" xfId="0" applyFont="1" applyBorder="1"/>
    <xf numFmtId="165" fontId="19" fillId="0" borderId="15" xfId="1" applyNumberFormat="1" applyFont="1" applyBorder="1"/>
    <xf numFmtId="0" fontId="30" fillId="0" borderId="14" xfId="0" applyFont="1" applyBorder="1"/>
    <xf numFmtId="9" fontId="23" fillId="7" borderId="17" xfId="0" applyNumberFormat="1" applyFont="1" applyFill="1" applyBorder="1"/>
    <xf numFmtId="0" fontId="19" fillId="0" borderId="17" xfId="0" applyFont="1" applyBorder="1"/>
    <xf numFmtId="165" fontId="23" fillId="7" borderId="17" xfId="1" applyNumberFormat="1" applyFont="1" applyFill="1" applyBorder="1"/>
    <xf numFmtId="1" fontId="19" fillId="0" borderId="17" xfId="0" applyNumberFormat="1" applyFont="1" applyBorder="1"/>
    <xf numFmtId="165" fontId="19" fillId="0" borderId="17" xfId="1" applyNumberFormat="1" applyFont="1" applyBorder="1"/>
    <xf numFmtId="3" fontId="19" fillId="0" borderId="17" xfId="0" applyNumberFormat="1" applyFont="1" applyBorder="1"/>
    <xf numFmtId="165" fontId="23" fillId="9" borderId="17" xfId="1" applyNumberFormat="1" applyFont="1" applyFill="1" applyBorder="1"/>
    <xf numFmtId="165" fontId="14" fillId="0" borderId="0" xfId="1" applyNumberFormat="1" applyFont="1" applyBorder="1"/>
    <xf numFmtId="164" fontId="26" fillId="5" borderId="7" xfId="1" applyNumberFormat="1" applyFont="1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35" fillId="10" borderId="16" xfId="0" applyFont="1" applyFill="1" applyBorder="1" applyAlignment="1">
      <alignment horizontal="center" vertical="center"/>
    </xf>
    <xf numFmtId="0" fontId="14" fillId="0" borderId="18" xfId="0" applyFont="1" applyBorder="1"/>
    <xf numFmtId="165" fontId="19" fillId="0" borderId="18" xfId="1" applyNumberFormat="1" applyFont="1" applyBorder="1"/>
    <xf numFmtId="165" fontId="23" fillId="7" borderId="18" xfId="1" applyNumberFormat="1" applyFont="1" applyFill="1" applyBorder="1"/>
    <xf numFmtId="3" fontId="19" fillId="0" borderId="18" xfId="0" applyNumberFormat="1" applyFont="1" applyBorder="1"/>
    <xf numFmtId="0" fontId="30" fillId="0" borderId="18" xfId="0" applyFont="1" applyBorder="1"/>
    <xf numFmtId="0" fontId="30" fillId="0" borderId="19" xfId="0" applyFont="1" applyBorder="1"/>
    <xf numFmtId="0" fontId="14" fillId="0" borderId="19" xfId="0" applyFont="1" applyBorder="1"/>
    <xf numFmtId="0" fontId="21" fillId="0" borderId="0" xfId="0" applyFont="1" applyAlignment="1">
      <alignment horizontal="right"/>
    </xf>
    <xf numFmtId="0" fontId="19" fillId="0" borderId="0" xfId="0" applyFont="1"/>
    <xf numFmtId="3" fontId="19" fillId="0" borderId="0" xfId="0" applyNumberFormat="1" applyFont="1"/>
    <xf numFmtId="0" fontId="12" fillId="0" borderId="0" xfId="0" applyFont="1"/>
    <xf numFmtId="9" fontId="12" fillId="0" borderId="0" xfId="0" applyNumberFormat="1" applyFont="1"/>
    <xf numFmtId="165" fontId="23" fillId="0" borderId="0" xfId="1" applyNumberFormat="1" applyFont="1" applyFill="1"/>
    <xf numFmtId="0" fontId="35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14" fillId="6" borderId="0" xfId="0" applyFont="1" applyFill="1"/>
    <xf numFmtId="165" fontId="19" fillId="6" borderId="0" xfId="1" applyNumberFormat="1" applyFont="1" applyFill="1" applyBorder="1"/>
    <xf numFmtId="165" fontId="23" fillId="6" borderId="0" xfId="1" applyNumberFormat="1" applyFont="1" applyFill="1"/>
    <xf numFmtId="0" fontId="14" fillId="0" borderId="0" xfId="0" applyFont="1" applyAlignment="1">
      <alignment horizontal="right"/>
    </xf>
    <xf numFmtId="0" fontId="19" fillId="0" borderId="7" xfId="1" applyNumberFormat="1" applyFont="1" applyBorder="1" applyAlignment="1">
      <alignment horizontal="center"/>
    </xf>
    <xf numFmtId="165" fontId="23" fillId="0" borderId="10" xfId="0" applyNumberFormat="1" applyFont="1" applyBorder="1"/>
    <xf numFmtId="4" fontId="14" fillId="0" borderId="0" xfId="0" applyNumberFormat="1" applyFont="1"/>
    <xf numFmtId="0" fontId="37" fillId="0" borderId="0" xfId="0" applyFont="1"/>
    <xf numFmtId="2" fontId="38" fillId="0" borderId="0" xfId="0" applyNumberFormat="1" applyFont="1"/>
    <xf numFmtId="0" fontId="38" fillId="0" borderId="0" xfId="0" applyFont="1"/>
    <xf numFmtId="165" fontId="14" fillId="0" borderId="0" xfId="0" applyNumberFormat="1" applyFont="1"/>
    <xf numFmtId="164" fontId="12" fillId="5" borderId="0" xfId="0" applyNumberFormat="1" applyFont="1" applyFill="1"/>
    <xf numFmtId="2" fontId="0" fillId="0" borderId="0" xfId="0" applyNumberFormat="1"/>
    <xf numFmtId="4" fontId="0" fillId="0" borderId="0" xfId="0" applyNumberFormat="1"/>
    <xf numFmtId="0" fontId="39" fillId="0" borderId="0" xfId="0" applyFont="1"/>
    <xf numFmtId="0" fontId="40" fillId="0" borderId="0" xfId="0" applyFont="1" applyAlignment="1">
      <alignment horizontal="right"/>
    </xf>
    <xf numFmtId="9" fontId="19" fillId="0" borderId="0" xfId="0" applyNumberFormat="1" applyFont="1"/>
    <xf numFmtId="0" fontId="0" fillId="11" borderId="0" xfId="0" applyFill="1"/>
    <xf numFmtId="0" fontId="12" fillId="11" borderId="0" xfId="0" applyFont="1" applyFill="1"/>
    <xf numFmtId="0" fontId="19" fillId="11" borderId="10" xfId="0" applyFont="1" applyFill="1" applyBorder="1"/>
    <xf numFmtId="0" fontId="21" fillId="11" borderId="0" xfId="0" applyFont="1" applyFill="1" applyAlignment="1">
      <alignment horizontal="right"/>
    </xf>
    <xf numFmtId="0" fontId="14" fillId="11" borderId="0" xfId="0" applyFont="1" applyFill="1"/>
    <xf numFmtId="165" fontId="19" fillId="11" borderId="0" xfId="1" applyNumberFormat="1" applyFont="1" applyFill="1" applyBorder="1"/>
    <xf numFmtId="165" fontId="23" fillId="11" borderId="0" xfId="1" applyNumberFormat="1" applyFont="1" applyFill="1"/>
    <xf numFmtId="165" fontId="19" fillId="11" borderId="0" xfId="1" applyNumberFormat="1" applyFont="1" applyFill="1"/>
    <xf numFmtId="165" fontId="19" fillId="0" borderId="17" xfId="0" applyNumberFormat="1" applyFont="1" applyBorder="1"/>
    <xf numFmtId="9" fontId="14" fillId="0" borderId="0" xfId="1" applyNumberFormat="1" applyFont="1"/>
    <xf numFmtId="0" fontId="25" fillId="0" borderId="0" xfId="0" applyFont="1"/>
    <xf numFmtId="2" fontId="25" fillId="0" borderId="0" xfId="0" applyNumberFormat="1" applyFont="1" applyAlignment="1">
      <alignment horizontal="right"/>
    </xf>
    <xf numFmtId="9" fontId="14" fillId="0" borderId="8" xfId="1" applyNumberFormat="1" applyFont="1" applyBorder="1"/>
    <xf numFmtId="0" fontId="14" fillId="10" borderId="0" xfId="0" applyFont="1" applyFill="1"/>
    <xf numFmtId="165" fontId="19" fillId="10" borderId="0" xfId="1" applyNumberFormat="1" applyFont="1" applyFill="1" applyBorder="1"/>
    <xf numFmtId="9" fontId="23" fillId="10" borderId="0" xfId="1" applyNumberFormat="1" applyFont="1" applyFill="1" applyBorder="1" applyAlignment="1">
      <alignment horizontal="center"/>
    </xf>
    <xf numFmtId="0" fontId="41" fillId="10" borderId="0" xfId="0" applyFont="1" applyFill="1" applyAlignment="1">
      <alignment horizontal="right" vertical="center"/>
    </xf>
    <xf numFmtId="14" fontId="13" fillId="0" borderId="0" xfId="0" applyNumberFormat="1" applyFont="1"/>
    <xf numFmtId="10" fontId="12" fillId="5" borderId="0" xfId="0" applyNumberFormat="1" applyFont="1" applyFill="1"/>
    <xf numFmtId="0" fontId="10" fillId="0" borderId="0" xfId="0" applyFont="1" applyProtection="1">
      <protection locked="0"/>
    </xf>
    <xf numFmtId="168" fontId="19" fillId="0" borderId="0" xfId="1" applyNumberFormat="1" applyFont="1"/>
    <xf numFmtId="9" fontId="12" fillId="5" borderId="0" xfId="0" applyNumberFormat="1" applyFont="1" applyFill="1" applyAlignment="1" applyProtection="1">
      <alignment horizontal="right"/>
      <protection locked="0"/>
    </xf>
    <xf numFmtId="168" fontId="19" fillId="0" borderId="0" xfId="1" applyNumberFormat="1" applyFont="1" applyBorder="1"/>
    <xf numFmtId="0" fontId="22" fillId="0" borderId="20" xfId="0" applyFont="1" applyBorder="1" applyAlignment="1">
      <alignment horizontal="right"/>
    </xf>
    <xf numFmtId="168" fontId="23" fillId="0" borderId="20" xfId="1" applyNumberFormat="1" applyFont="1" applyBorder="1"/>
    <xf numFmtId="168" fontId="23" fillId="0" borderId="20" xfId="0" applyNumberFormat="1" applyFont="1" applyBorder="1"/>
    <xf numFmtId="168" fontId="14" fillId="0" borderId="0" xfId="0" applyNumberFormat="1" applyFont="1"/>
    <xf numFmtId="0" fontId="22" fillId="0" borderId="21" xfId="0" applyFont="1" applyBorder="1" applyAlignment="1">
      <alignment horizontal="right"/>
    </xf>
    <xf numFmtId="168" fontId="23" fillId="0" borderId="21" xfId="1" applyNumberFormat="1" applyFont="1" applyBorder="1"/>
    <xf numFmtId="14" fontId="12" fillId="5" borderId="0" xfId="0" applyNumberFormat="1" applyFont="1" applyFill="1"/>
    <xf numFmtId="0" fontId="13" fillId="0" borderId="0" xfId="0" applyFont="1"/>
    <xf numFmtId="14" fontId="42" fillId="0" borderId="0" xfId="0" applyNumberFormat="1" applyFont="1"/>
    <xf numFmtId="165" fontId="23" fillId="0" borderId="0" xfId="0" applyNumberFormat="1" applyFont="1"/>
    <xf numFmtId="0" fontId="19" fillId="11" borderId="0" xfId="0" applyFont="1" applyFill="1"/>
    <xf numFmtId="0" fontId="19" fillId="0" borderId="9" xfId="0" applyFont="1" applyBorder="1"/>
    <xf numFmtId="165" fontId="23" fillId="7" borderId="0" xfId="0" applyNumberFormat="1" applyFont="1" applyFill="1"/>
    <xf numFmtId="0" fontId="19" fillId="0" borderId="8" xfId="0" applyFont="1" applyBorder="1"/>
    <xf numFmtId="0" fontId="14" fillId="11" borderId="19" xfId="0" applyFont="1" applyFill="1" applyBorder="1"/>
    <xf numFmtId="0" fontId="0" fillId="0" borderId="19" xfId="0" applyBorder="1"/>
    <xf numFmtId="0" fontId="14" fillId="0" borderId="22" xfId="0" applyFont="1" applyBorder="1"/>
    <xf numFmtId="0" fontId="14" fillId="0" borderId="23" xfId="0" applyFont="1" applyBorder="1"/>
    <xf numFmtId="165" fontId="19" fillId="0" borderId="19" xfId="1" applyNumberFormat="1" applyFont="1" applyBorder="1"/>
    <xf numFmtId="168" fontId="19" fillId="0" borderId="0" xfId="1" applyNumberFormat="1" applyFont="1" applyAlignment="1">
      <alignment horizontal="center"/>
    </xf>
    <xf numFmtId="10" fontId="23" fillId="6" borderId="0" xfId="0" applyNumberFormat="1" applyFont="1" applyFill="1"/>
    <xf numFmtId="168" fontId="23" fillId="6" borderId="0" xfId="0" applyNumberFormat="1" applyFont="1" applyFill="1" applyAlignment="1">
      <alignment horizontal="right"/>
    </xf>
    <xf numFmtId="4" fontId="23" fillId="6" borderId="0" xfId="0" applyNumberFormat="1" applyFont="1" applyFill="1" applyAlignment="1">
      <alignment horizontal="right"/>
    </xf>
    <xf numFmtId="0" fontId="43" fillId="0" borderId="0" xfId="0" applyFont="1"/>
    <xf numFmtId="2" fontId="10" fillId="0" borderId="0" xfId="0" applyNumberFormat="1" applyFont="1" applyAlignment="1">
      <alignment horizontal="right"/>
    </xf>
    <xf numFmtId="0" fontId="10" fillId="0" borderId="0" xfId="0" applyFont="1"/>
    <xf numFmtId="9" fontId="23" fillId="8" borderId="0" xfId="0" applyNumberFormat="1" applyFont="1" applyFill="1"/>
    <xf numFmtId="165" fontId="23" fillId="8" borderId="0" xfId="0" applyNumberFormat="1" applyFont="1" applyFill="1"/>
    <xf numFmtId="43" fontId="14" fillId="0" borderId="0" xfId="1" applyFont="1" applyFill="1"/>
    <xf numFmtId="0" fontId="4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0" fillId="0" borderId="24" xfId="0" applyBorder="1"/>
    <xf numFmtId="0" fontId="3" fillId="12" borderId="0" xfId="0" applyFont="1" applyFill="1"/>
    <xf numFmtId="0" fontId="3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0" fillId="0" borderId="25" xfId="0" applyBorder="1"/>
    <xf numFmtId="0" fontId="3" fillId="0" borderId="0" xfId="0" applyFont="1" applyAlignment="1">
      <alignment horizontal="left"/>
    </xf>
    <xf numFmtId="0" fontId="3" fillId="0" borderId="25" xfId="0" applyFont="1" applyBorder="1"/>
    <xf numFmtId="0" fontId="24" fillId="0" borderId="26" xfId="0" applyFont="1" applyBorder="1"/>
    <xf numFmtId="0" fontId="0" fillId="0" borderId="26" xfId="0" applyBorder="1"/>
    <xf numFmtId="0" fontId="45" fillId="13" borderId="0" xfId="0" applyFont="1" applyFill="1"/>
    <xf numFmtId="0" fontId="46" fillId="14" borderId="0" xfId="0" applyFont="1" applyFill="1"/>
    <xf numFmtId="0" fontId="12" fillId="5" borderId="0" xfId="0" applyFont="1" applyFill="1" applyAlignment="1">
      <alignment horizontal="left"/>
    </xf>
    <xf numFmtId="0" fontId="1" fillId="0" borderId="0" xfId="5"/>
    <xf numFmtId="0" fontId="47" fillId="0" borderId="27" xfId="5" applyFont="1" applyBorder="1" applyAlignment="1">
      <alignment horizontal="center" vertical="top"/>
    </xf>
    <xf numFmtId="0" fontId="4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8" fillId="0" borderId="0" xfId="0" applyFont="1" applyAlignment="1">
      <alignment vertical="center" wrapText="1"/>
    </xf>
    <xf numFmtId="4" fontId="1" fillId="0" borderId="0" xfId="5" applyNumberFormat="1"/>
    <xf numFmtId="0" fontId="49" fillId="5" borderId="0" xfId="0" applyFont="1" applyFill="1"/>
    <xf numFmtId="3" fontId="23" fillId="6" borderId="0" xfId="0" applyNumberFormat="1" applyFont="1" applyFill="1" applyAlignment="1">
      <alignment horizontal="right"/>
    </xf>
    <xf numFmtId="0" fontId="50" fillId="0" borderId="0" xfId="0" applyFont="1"/>
    <xf numFmtId="4" fontId="12" fillId="5" borderId="0" xfId="0" applyNumberFormat="1" applyFont="1" applyFill="1"/>
    <xf numFmtId="0" fontId="51" fillId="0" borderId="0" xfId="0" applyFont="1" applyAlignment="1">
      <alignment horizontal="center" vertical="center" wrapText="1"/>
    </xf>
    <xf numFmtId="0" fontId="52" fillId="0" borderId="28" xfId="0" applyFont="1" applyBorder="1" applyAlignment="1">
      <alignment vertical="center" wrapText="1"/>
    </xf>
    <xf numFmtId="1" fontId="0" fillId="0" borderId="0" xfId="0" applyNumberFormat="1"/>
    <xf numFmtId="3" fontId="25" fillId="5" borderId="0" xfId="0" applyNumberFormat="1" applyFont="1" applyFill="1"/>
    <xf numFmtId="0" fontId="25" fillId="5" borderId="0" xfId="0" applyFont="1" applyFill="1"/>
    <xf numFmtId="9" fontId="12" fillId="5" borderId="0" xfId="0" applyNumberFormat="1" applyFont="1" applyFill="1" applyAlignment="1">
      <alignment horizontal="center"/>
    </xf>
    <xf numFmtId="10" fontId="12" fillId="5" borderId="0" xfId="0" applyNumberFormat="1" applyFont="1" applyFill="1" applyAlignment="1">
      <alignment horizontal="center"/>
    </xf>
    <xf numFmtId="0" fontId="53" fillId="9" borderId="0" xfId="0" applyFont="1" applyFill="1" applyAlignment="1">
      <alignment horizontal="right" vertical="center"/>
    </xf>
    <xf numFmtId="165" fontId="19" fillId="0" borderId="0" xfId="1" applyNumberFormat="1" applyFont="1" applyFill="1" applyBorder="1"/>
    <xf numFmtId="0" fontId="57" fillId="9" borderId="0" xfId="0" applyFont="1" applyFill="1" applyAlignment="1">
      <alignment horizontal="right"/>
    </xf>
    <xf numFmtId="0" fontId="58" fillId="9" borderId="0" xfId="0" applyFont="1" applyFill="1"/>
    <xf numFmtId="0" fontId="57" fillId="9" borderId="0" xfId="0" applyFont="1" applyFill="1" applyAlignment="1">
      <alignment horizontal="center" vertical="center"/>
    </xf>
    <xf numFmtId="0" fontId="58" fillId="9" borderId="0" xfId="0" applyFont="1" applyFill="1" applyAlignment="1">
      <alignment horizontal="right"/>
    </xf>
    <xf numFmtId="0" fontId="57" fillId="9" borderId="0" xfId="0" applyFont="1" applyFill="1" applyAlignment="1">
      <alignment horizontal="right" vertical="center"/>
    </xf>
    <xf numFmtId="165" fontId="59" fillId="9" borderId="0" xfId="1" applyNumberFormat="1" applyFont="1" applyFill="1"/>
    <xf numFmtId="0" fontId="60" fillId="0" borderId="0" xfId="0" applyFont="1" applyAlignment="1">
      <alignment horizontal="right"/>
    </xf>
    <xf numFmtId="0" fontId="58" fillId="0" borderId="0" xfId="0" applyFont="1"/>
    <xf numFmtId="0" fontId="60" fillId="15" borderId="0" xfId="0" applyFont="1" applyFill="1" applyAlignment="1">
      <alignment horizontal="right"/>
    </xf>
    <xf numFmtId="3" fontId="58" fillId="15" borderId="0" xfId="1" applyNumberFormat="1" applyFont="1" applyFill="1"/>
    <xf numFmtId="3" fontId="57" fillId="15" borderId="0" xfId="0" applyNumberFormat="1" applyFont="1" applyFill="1"/>
    <xf numFmtId="0" fontId="58" fillId="15" borderId="0" xfId="0" applyFont="1" applyFill="1"/>
    <xf numFmtId="0" fontId="20" fillId="15" borderId="0" xfId="0" applyFont="1" applyFill="1" applyAlignment="1">
      <alignment horizontal="right"/>
    </xf>
    <xf numFmtId="0" fontId="14" fillId="15" borderId="0" xfId="0" applyFont="1" applyFill="1"/>
    <xf numFmtId="0" fontId="19" fillId="15" borderId="0" xfId="1" applyNumberFormat="1" applyFont="1" applyFill="1" applyBorder="1" applyAlignment="1">
      <alignment horizontal="center"/>
    </xf>
    <xf numFmtId="165" fontId="19" fillId="15" borderId="0" xfId="1" applyNumberFormat="1" applyFont="1" applyFill="1"/>
    <xf numFmtId="0" fontId="54" fillId="15" borderId="29" xfId="0" applyFont="1" applyFill="1" applyBorder="1" applyAlignment="1">
      <alignment horizontal="right" vertical="center"/>
    </xf>
    <xf numFmtId="0" fontId="43" fillId="15" borderId="30" xfId="0" applyFont="1" applyFill="1" applyBorder="1" applyAlignment="1">
      <alignment vertical="center"/>
    </xf>
    <xf numFmtId="165" fontId="43" fillId="15" borderId="30" xfId="1" applyNumberFormat="1" applyFont="1" applyFill="1" applyBorder="1" applyAlignment="1">
      <alignment vertical="center"/>
    </xf>
    <xf numFmtId="165" fontId="55" fillId="15" borderId="30" xfId="1" applyNumberFormat="1" applyFont="1" applyFill="1" applyBorder="1" applyAlignment="1">
      <alignment vertical="center"/>
    </xf>
    <xf numFmtId="3" fontId="56" fillId="15" borderId="30" xfId="1" applyNumberFormat="1" applyFont="1" applyFill="1" applyBorder="1" applyAlignment="1">
      <alignment vertical="center"/>
    </xf>
    <xf numFmtId="3" fontId="56" fillId="15" borderId="31" xfId="1" applyNumberFormat="1" applyFont="1" applyFill="1" applyBorder="1" applyAlignment="1">
      <alignment vertical="center"/>
    </xf>
    <xf numFmtId="3" fontId="58" fillId="15" borderId="0" xfId="1" applyNumberFormat="1" applyFont="1" applyFill="1" applyAlignment="1">
      <alignment horizontal="right"/>
    </xf>
    <xf numFmtId="0" fontId="61" fillId="15" borderId="0" xfId="0" applyFont="1" applyFill="1" applyAlignment="1">
      <alignment horizontal="right"/>
    </xf>
    <xf numFmtId="0" fontId="57" fillId="15" borderId="0" xfId="0" applyFont="1" applyFill="1"/>
    <xf numFmtId="0" fontId="58" fillId="15" borderId="0" xfId="0" applyFont="1" applyFill="1" applyAlignment="1">
      <alignment horizontal="right"/>
    </xf>
    <xf numFmtId="0" fontId="43" fillId="15" borderId="30" xfId="0" applyFont="1" applyFill="1" applyBorder="1"/>
    <xf numFmtId="165" fontId="43" fillId="15" borderId="30" xfId="1" applyNumberFormat="1" applyFont="1" applyFill="1" applyBorder="1"/>
    <xf numFmtId="9" fontId="55" fillId="15" borderId="30" xfId="1" applyNumberFormat="1" applyFont="1" applyFill="1" applyBorder="1" applyAlignment="1">
      <alignment horizontal="center"/>
    </xf>
    <xf numFmtId="0" fontId="56" fillId="15" borderId="30" xfId="0" applyFont="1" applyFill="1" applyBorder="1" applyAlignment="1">
      <alignment horizontal="center" vertical="center"/>
    </xf>
    <xf numFmtId="0" fontId="56" fillId="15" borderId="31" xfId="0" applyFont="1" applyFill="1" applyBorder="1" applyAlignment="1">
      <alignment horizontal="center" vertical="center"/>
    </xf>
    <xf numFmtId="0" fontId="36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right"/>
    </xf>
    <xf numFmtId="4" fontId="13" fillId="0" borderId="0" xfId="0" applyNumberFormat="1" applyFont="1" applyAlignment="1">
      <alignment horizontal="right"/>
    </xf>
    <xf numFmtId="9" fontId="58" fillId="0" borderId="0" xfId="0" applyNumberFormat="1" applyFont="1"/>
    <xf numFmtId="4" fontId="64" fillId="0" borderId="0" xfId="2" applyNumberFormat="1" applyFont="1" applyBorder="1"/>
    <xf numFmtId="0" fontId="59" fillId="0" borderId="0" xfId="0" applyFont="1"/>
    <xf numFmtId="165" fontId="59" fillId="8" borderId="17" xfId="1" applyNumberFormat="1" applyFont="1" applyFill="1" applyBorder="1"/>
    <xf numFmtId="165" fontId="58" fillId="0" borderId="17" xfId="1" applyNumberFormat="1" applyFont="1" applyBorder="1"/>
    <xf numFmtId="165" fontId="59" fillId="9" borderId="17" xfId="1" applyNumberFormat="1" applyFont="1" applyFill="1" applyBorder="1"/>
    <xf numFmtId="10" fontId="58" fillId="0" borderId="0" xfId="2" applyNumberFormat="1" applyFont="1" applyBorder="1"/>
    <xf numFmtId="0" fontId="53" fillId="8" borderId="0" xfId="0" applyFont="1" applyFill="1" applyAlignment="1">
      <alignment horizontal="right"/>
    </xf>
    <xf numFmtId="0" fontId="60" fillId="9" borderId="0" xfId="0" applyFont="1" applyFill="1" applyAlignment="1">
      <alignment horizontal="right"/>
    </xf>
    <xf numFmtId="10" fontId="64" fillId="0" borderId="0" xfId="2" applyNumberFormat="1" applyFont="1" applyBorder="1"/>
    <xf numFmtId="9" fontId="59" fillId="8" borderId="0" xfId="2" applyFont="1" applyFill="1" applyBorder="1"/>
    <xf numFmtId="3" fontId="58" fillId="0" borderId="0" xfId="0" applyNumberFormat="1" applyFont="1"/>
    <xf numFmtId="3" fontId="59" fillId="9" borderId="0" xfId="0" applyNumberFormat="1" applyFont="1" applyFill="1"/>
    <xf numFmtId="9" fontId="60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" fontId="14" fillId="0" borderId="0" xfId="0" applyNumberFormat="1" applyFont="1" applyAlignment="1">
      <alignment horizontal="left"/>
    </xf>
    <xf numFmtId="0" fontId="54" fillId="15" borderId="0" xfId="0" applyFont="1" applyFill="1" applyAlignment="1">
      <alignment vertical="center"/>
    </xf>
    <xf numFmtId="165" fontId="58" fillId="0" borderId="0" xfId="1" applyNumberFormat="1" applyFont="1" applyFill="1" applyBorder="1"/>
    <xf numFmtId="4" fontId="66" fillId="0" borderId="0" xfId="2" applyNumberFormat="1" applyFont="1" applyBorder="1" applyAlignment="1">
      <alignment horizontal="right"/>
    </xf>
    <xf numFmtId="165" fontId="65" fillId="15" borderId="0" xfId="1" applyNumberFormat="1" applyFont="1" applyFill="1" applyBorder="1"/>
    <xf numFmtId="165" fontId="58" fillId="15" borderId="0" xfId="1" applyNumberFormat="1" applyFont="1" applyFill="1" applyBorder="1"/>
    <xf numFmtId="1" fontId="58" fillId="15" borderId="0" xfId="0" applyNumberFormat="1" applyFont="1" applyFill="1"/>
    <xf numFmtId="165" fontId="62" fillId="15" borderId="33" xfId="1" applyNumberFormat="1" applyFont="1" applyFill="1" applyBorder="1"/>
    <xf numFmtId="165" fontId="62" fillId="15" borderId="32" xfId="1" applyNumberFormat="1" applyFont="1" applyFill="1" applyBorder="1"/>
    <xf numFmtId="4" fontId="16" fillId="15" borderId="0" xfId="2" applyNumberFormat="1" applyFont="1" applyFill="1" applyBorder="1"/>
    <xf numFmtId="4" fontId="63" fillId="15" borderId="0" xfId="2" applyNumberFormat="1" applyFont="1" applyFill="1" applyBorder="1"/>
    <xf numFmtId="0" fontId="53" fillId="15" borderId="29" xfId="0" applyFont="1" applyFill="1" applyBorder="1" applyAlignment="1">
      <alignment horizontal="right" vertical="center"/>
    </xf>
    <xf numFmtId="0" fontId="59" fillId="15" borderId="30" xfId="0" applyFont="1" applyFill="1" applyBorder="1" applyAlignment="1">
      <alignment vertical="center"/>
    </xf>
    <xf numFmtId="0" fontId="28" fillId="15" borderId="30" xfId="0" applyFont="1" applyFill="1" applyBorder="1" applyAlignment="1">
      <alignment horizontal="center" vertical="center"/>
    </xf>
    <xf numFmtId="3" fontId="59" fillId="15" borderId="30" xfId="0" applyNumberFormat="1" applyFont="1" applyFill="1" applyBorder="1" applyAlignment="1">
      <alignment vertical="center"/>
    </xf>
    <xf numFmtId="3" fontId="59" fillId="15" borderId="31" xfId="0" applyNumberFormat="1" applyFont="1" applyFill="1" applyBorder="1" applyAlignment="1">
      <alignment vertical="center"/>
    </xf>
    <xf numFmtId="10" fontId="17" fillId="15" borderId="0" xfId="2" applyNumberFormat="1" applyFont="1" applyFill="1" applyBorder="1"/>
    <xf numFmtId="10" fontId="63" fillId="15" borderId="0" xfId="2" applyNumberFormat="1" applyFont="1" applyFill="1" applyBorder="1"/>
    <xf numFmtId="165" fontId="58" fillId="15" borderId="0" xfId="0" applyNumberFormat="1" applyFont="1" applyFill="1"/>
    <xf numFmtId="9" fontId="65" fillId="0" borderId="0" xfId="1" applyNumberFormat="1" applyFont="1" applyFill="1" applyBorder="1"/>
    <xf numFmtId="164" fontId="59" fillId="15" borderId="31" xfId="0" applyNumberFormat="1" applyFont="1" applyFill="1" applyBorder="1" applyAlignment="1">
      <alignment vertical="center"/>
    </xf>
    <xf numFmtId="1" fontId="4" fillId="0" borderId="5" xfId="0" applyNumberFormat="1" applyFont="1" applyBorder="1" applyAlignment="1">
      <alignment horizontal="center"/>
    </xf>
    <xf numFmtId="0" fontId="8" fillId="0" borderId="6" xfId="0" applyFont="1" applyBorder="1"/>
    <xf numFmtId="1" fontId="4" fillId="4" borderId="0" xfId="0" applyNumberFormat="1" applyFont="1" applyFill="1" applyAlignment="1">
      <alignment horizontal="right"/>
    </xf>
    <xf numFmtId="0" fontId="7" fillId="0" borderId="0" xfId="0" applyFont="1"/>
    <xf numFmtId="9" fontId="4" fillId="0" borderId="3" xfId="0" applyNumberFormat="1" applyFont="1" applyBorder="1" applyAlignment="1">
      <alignment horizontal="center"/>
    </xf>
    <xf numFmtId="0" fontId="8" fillId="0" borderId="4" xfId="0" applyFont="1" applyBorder="1"/>
    <xf numFmtId="0" fontId="4" fillId="0" borderId="1" xfId="0" applyFont="1" applyBorder="1" applyAlignment="1">
      <alignment horizontal="center"/>
    </xf>
    <xf numFmtId="0" fontId="8" fillId="0" borderId="2" xfId="0" applyFont="1" applyBorder="1"/>
    <xf numFmtId="0" fontId="54" fillId="15" borderId="29" xfId="0" applyFont="1" applyFill="1" applyBorder="1" applyAlignment="1">
      <alignment horizontal="center" vertical="center"/>
    </xf>
    <xf numFmtId="0" fontId="54" fillId="15" borderId="31" xfId="0" applyFont="1" applyFill="1" applyBorder="1" applyAlignment="1">
      <alignment horizontal="center" vertical="center"/>
    </xf>
    <xf numFmtId="0" fontId="14" fillId="0" borderId="0" xfId="0" applyFont="1" applyFill="1"/>
    <xf numFmtId="9" fontId="58" fillId="15" borderId="0" xfId="0" applyNumberFormat="1" applyFont="1" applyFill="1"/>
    <xf numFmtId="0" fontId="19" fillId="15" borderId="0" xfId="0" applyFont="1" applyFill="1"/>
    <xf numFmtId="3" fontId="19" fillId="15" borderId="0" xfId="0" applyNumberFormat="1" applyFont="1" applyFill="1"/>
    <xf numFmtId="0" fontId="53" fillId="15" borderId="0" xfId="0" applyFont="1" applyFill="1" applyAlignment="1">
      <alignment horizontal="right"/>
    </xf>
    <xf numFmtId="0" fontId="30" fillId="15" borderId="0" xfId="0" applyFont="1" applyFill="1"/>
    <xf numFmtId="3" fontId="59" fillId="15" borderId="0" xfId="0" applyNumberFormat="1" applyFont="1" applyFill="1"/>
    <xf numFmtId="9" fontId="19" fillId="15" borderId="0" xfId="0" applyNumberFormat="1" applyFont="1" applyFill="1"/>
    <xf numFmtId="165" fontId="14" fillId="15" borderId="0" xfId="1" applyNumberFormat="1" applyFont="1" applyFill="1"/>
  </cellXfs>
  <cellStyles count="6">
    <cellStyle name="Comma" xfId="1" builtinId="3"/>
    <cellStyle name="Normal" xfId="0" builtinId="0"/>
    <cellStyle name="Normal 2" xfId="3" xr:uid="{3D5BA9B0-D747-45DC-8487-0114A291BD35}"/>
    <cellStyle name="Normal 3" xfId="4" xr:uid="{E3DE079F-6C75-413E-94C9-451AF354663A}"/>
    <cellStyle name="Normal 4" xfId="5" xr:uid="{433B3BE6-466A-4301-A849-48E4DFC37A4B}"/>
    <cellStyle name="Percent" xfId="2" builtinId="5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F5B63"/>
      <color rgb="FFC5E8ED"/>
      <color rgb="FF70C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10432</xdr:colOff>
      <xdr:row>13</xdr:row>
      <xdr:rowOff>152854</xdr:rowOff>
    </xdr:from>
    <xdr:to>
      <xdr:col>14</xdr:col>
      <xdr:colOff>412264</xdr:colOff>
      <xdr:row>56</xdr:row>
      <xdr:rowOff>77606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088F1-CE78-DF70-ADF1-6B4B8FCD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753" y="2425247"/>
          <a:ext cx="11189122" cy="69460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A46D7-4B85-4643-A8BE-21043F4B9D1B}" name="Table1" displayName="Table1" ref="A17:B23" totalsRowShown="0" headerRowDxfId="3" dataDxfId="2">
  <autoFilter ref="A17:B23" xr:uid="{991A46D7-4B85-4643-A8BE-21043F4B9D1B}"/>
  <tableColumns count="2">
    <tableColumn id="1" xr3:uid="{788CE035-0534-4882-B99C-9F59F817696E}" name="A" dataDxfId="1"/>
    <tableColumn id="2" xr3:uid="{6B4AC670-5E53-4E6B-AE8F-E84F33F088BC}" name="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37"/>
  <sheetViews>
    <sheetView workbookViewId="0"/>
  </sheetViews>
  <sheetFormatPr defaultColWidth="12.54296875" defaultRowHeight="15.75" customHeight="1" outlineLevelCol="1" x14ac:dyDescent="0.25"/>
  <cols>
    <col min="1" max="1" width="20.81640625" style="3" customWidth="1"/>
    <col min="2" max="2" width="12.54296875" style="3"/>
    <col min="3" max="26" width="12.54296875" style="3" customWidth="1" outlineLevel="1"/>
    <col min="27" max="16384" width="12.54296875" style="3"/>
  </cols>
  <sheetData>
    <row r="2" spans="1:26" ht="23" x14ac:dyDescent="0.5">
      <c r="A2" s="2" t="s">
        <v>0</v>
      </c>
    </row>
    <row r="3" spans="1:26" ht="12.5" x14ac:dyDescent="0.25">
      <c r="A3" s="4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" thickBot="1" x14ac:dyDescent="0.3">
      <c r="A4" s="4"/>
      <c r="B4" s="4"/>
      <c r="C4" s="5" t="s">
        <v>2</v>
      </c>
      <c r="D4" s="5" t="s">
        <v>3</v>
      </c>
      <c r="E4" s="5" t="s">
        <v>2</v>
      </c>
      <c r="F4" s="5" t="s">
        <v>3</v>
      </c>
      <c r="G4" s="5" t="s">
        <v>2</v>
      </c>
      <c r="H4" s="5" t="s">
        <v>3</v>
      </c>
      <c r="I4" s="5" t="s">
        <v>2</v>
      </c>
      <c r="J4" s="5" t="s">
        <v>3</v>
      </c>
      <c r="K4" s="5" t="s">
        <v>2</v>
      </c>
      <c r="L4" s="5" t="s">
        <v>3</v>
      </c>
      <c r="M4" s="5" t="s">
        <v>2</v>
      </c>
      <c r="N4" s="5" t="s">
        <v>3</v>
      </c>
      <c r="O4" s="5" t="s">
        <v>2</v>
      </c>
      <c r="P4" s="5" t="s">
        <v>3</v>
      </c>
      <c r="Q4" s="5" t="s">
        <v>2</v>
      </c>
      <c r="R4" s="5" t="s">
        <v>3</v>
      </c>
      <c r="S4" s="5" t="s">
        <v>2</v>
      </c>
      <c r="T4" s="5" t="s">
        <v>3</v>
      </c>
      <c r="U4" s="5" t="s">
        <v>2</v>
      </c>
      <c r="V4" s="5" t="s">
        <v>3</v>
      </c>
      <c r="W4" s="5" t="s">
        <v>2</v>
      </c>
      <c r="X4" s="5" t="s">
        <v>3</v>
      </c>
      <c r="Y4" s="5" t="s">
        <v>2</v>
      </c>
      <c r="Z4" s="5" t="s">
        <v>3</v>
      </c>
    </row>
    <row r="5" spans="1:26" ht="13" thickTop="1" x14ac:dyDescent="0.25">
      <c r="A5" s="4"/>
      <c r="B5" s="4"/>
      <c r="C5" s="318" t="s">
        <v>4</v>
      </c>
      <c r="D5" s="319"/>
      <c r="E5" s="318" t="s">
        <v>5</v>
      </c>
      <c r="F5" s="319"/>
      <c r="G5" s="318" t="s">
        <v>6</v>
      </c>
      <c r="H5" s="319"/>
      <c r="I5" s="318" t="s">
        <v>7</v>
      </c>
      <c r="J5" s="319"/>
      <c r="K5" s="318" t="s">
        <v>8</v>
      </c>
      <c r="L5" s="319"/>
      <c r="M5" s="318" t="s">
        <v>9</v>
      </c>
      <c r="N5" s="319"/>
      <c r="O5" s="318" t="s">
        <v>10</v>
      </c>
      <c r="P5" s="319"/>
      <c r="Q5" s="318" t="s">
        <v>11</v>
      </c>
      <c r="R5" s="319"/>
      <c r="S5" s="318" t="s">
        <v>12</v>
      </c>
      <c r="T5" s="319"/>
      <c r="U5" s="318" t="s">
        <v>13</v>
      </c>
      <c r="V5" s="319"/>
      <c r="W5" s="318" t="s">
        <v>14</v>
      </c>
      <c r="X5" s="319"/>
      <c r="Y5" s="318" t="s">
        <v>15</v>
      </c>
      <c r="Z5" s="319"/>
    </row>
    <row r="6" spans="1:26" ht="12.5" x14ac:dyDescent="0.25">
      <c r="A6" s="4" t="s">
        <v>16</v>
      </c>
      <c r="B6" s="4"/>
      <c r="C6" s="316">
        <f>C22</f>
        <v>0.5854838709677419</v>
      </c>
      <c r="D6" s="317"/>
      <c r="E6" s="316">
        <f>E22</f>
        <v>0.65714285714285714</v>
      </c>
      <c r="F6" s="317"/>
      <c r="G6" s="316">
        <f>G22</f>
        <v>0.74354838709677407</v>
      </c>
      <c r="H6" s="317"/>
      <c r="I6" s="316">
        <f>I22</f>
        <v>0.82000000000000006</v>
      </c>
      <c r="J6" s="317"/>
      <c r="K6" s="316">
        <f>K22</f>
        <v>0.82838709677419353</v>
      </c>
      <c r="L6" s="317"/>
      <c r="M6" s="316">
        <f>M22</f>
        <v>0.80099999999999993</v>
      </c>
      <c r="N6" s="317"/>
      <c r="O6" s="316">
        <f>O22</f>
        <v>0.85032258064516131</v>
      </c>
      <c r="P6" s="317"/>
      <c r="Q6" s="316">
        <f>Q22</f>
        <v>0.86451612903225794</v>
      </c>
      <c r="R6" s="317"/>
      <c r="S6" s="316">
        <f>S22</f>
        <v>0.83499999999999985</v>
      </c>
      <c r="T6" s="317"/>
      <c r="U6" s="316">
        <f>U22</f>
        <v>0.77709677419354839</v>
      </c>
      <c r="V6" s="317"/>
      <c r="W6" s="316">
        <f>W22</f>
        <v>0.68333333333333335</v>
      </c>
      <c r="X6" s="317"/>
      <c r="Y6" s="316">
        <f>Y22</f>
        <v>0.67999999999999994</v>
      </c>
      <c r="Z6" s="317"/>
    </row>
    <row r="7" spans="1:26" ht="12.5" x14ac:dyDescent="0.25">
      <c r="A7" s="4" t="s">
        <v>17</v>
      </c>
      <c r="B7" s="4"/>
      <c r="C7" s="6">
        <v>0.55000000000000004</v>
      </c>
      <c r="D7" s="7">
        <v>0.65</v>
      </c>
      <c r="E7" s="6">
        <v>0.62</v>
      </c>
      <c r="F7" s="7">
        <v>0.75</v>
      </c>
      <c r="G7" s="6">
        <v>0.7</v>
      </c>
      <c r="H7" s="7">
        <v>0.85</v>
      </c>
      <c r="I7" s="6">
        <v>0.78</v>
      </c>
      <c r="J7" s="7">
        <v>0.88</v>
      </c>
      <c r="K7" s="6">
        <v>0.8</v>
      </c>
      <c r="L7" s="7">
        <v>0.88</v>
      </c>
      <c r="M7" s="6">
        <v>0.78</v>
      </c>
      <c r="N7" s="7">
        <v>0.85</v>
      </c>
      <c r="O7" s="6">
        <v>0.83</v>
      </c>
      <c r="P7" s="7">
        <v>0.9</v>
      </c>
      <c r="Q7" s="6">
        <v>0.85</v>
      </c>
      <c r="R7" s="7">
        <v>0.9</v>
      </c>
      <c r="S7" s="6">
        <v>0.82</v>
      </c>
      <c r="T7" s="7">
        <v>0.87</v>
      </c>
      <c r="U7" s="6">
        <v>0.75</v>
      </c>
      <c r="V7" s="7">
        <v>0.82</v>
      </c>
      <c r="W7" s="6">
        <v>0.65</v>
      </c>
      <c r="X7" s="7">
        <v>0.75</v>
      </c>
      <c r="Y7" s="6">
        <v>0.6</v>
      </c>
      <c r="Z7" s="7">
        <v>0.8</v>
      </c>
    </row>
    <row r="8" spans="1:26" ht="12.5" x14ac:dyDescent="0.25">
      <c r="A8" s="4" t="s">
        <v>18</v>
      </c>
      <c r="B8" s="4"/>
      <c r="C8" s="8">
        <v>20</v>
      </c>
      <c r="D8" s="9">
        <v>11</v>
      </c>
      <c r="E8" s="8">
        <v>20</v>
      </c>
      <c r="F8" s="9">
        <v>8</v>
      </c>
      <c r="G8" s="8">
        <v>22</v>
      </c>
      <c r="H8" s="9">
        <v>9</v>
      </c>
      <c r="I8" s="8">
        <v>18</v>
      </c>
      <c r="J8" s="9">
        <v>12</v>
      </c>
      <c r="K8" s="8">
        <v>20</v>
      </c>
      <c r="L8" s="9">
        <v>11</v>
      </c>
      <c r="M8" s="8">
        <v>21</v>
      </c>
      <c r="N8" s="9">
        <v>9</v>
      </c>
      <c r="O8" s="8">
        <v>22</v>
      </c>
      <c r="P8" s="9">
        <v>9</v>
      </c>
      <c r="Q8" s="8">
        <v>22</v>
      </c>
      <c r="R8" s="9">
        <v>9</v>
      </c>
      <c r="S8" s="8">
        <v>21</v>
      </c>
      <c r="T8" s="9">
        <v>9</v>
      </c>
      <c r="U8" s="8">
        <v>19</v>
      </c>
      <c r="V8" s="9">
        <v>12</v>
      </c>
      <c r="W8" s="8">
        <v>20</v>
      </c>
      <c r="X8" s="9">
        <v>10</v>
      </c>
      <c r="Y8" s="8">
        <v>18</v>
      </c>
      <c r="Z8" s="9">
        <v>12</v>
      </c>
    </row>
    <row r="9" spans="1:26" ht="13" x14ac:dyDescent="0.3">
      <c r="A9" s="10" t="s">
        <v>19</v>
      </c>
      <c r="B9" s="11">
        <v>22</v>
      </c>
      <c r="C9" s="12">
        <v>80</v>
      </c>
      <c r="D9" s="13">
        <v>100</v>
      </c>
      <c r="E9" s="12">
        <v>85</v>
      </c>
      <c r="F9" s="13">
        <v>110</v>
      </c>
      <c r="G9" s="12">
        <v>110</v>
      </c>
      <c r="H9" s="13">
        <v>135</v>
      </c>
      <c r="I9" s="12">
        <v>125</v>
      </c>
      <c r="J9" s="13">
        <v>150</v>
      </c>
      <c r="K9" s="12">
        <v>125</v>
      </c>
      <c r="L9" s="13">
        <v>150</v>
      </c>
      <c r="M9" s="12">
        <v>120</v>
      </c>
      <c r="N9" s="13">
        <v>140</v>
      </c>
      <c r="O9" s="12">
        <v>125</v>
      </c>
      <c r="P9" s="13">
        <v>145</v>
      </c>
      <c r="Q9" s="12">
        <v>150</v>
      </c>
      <c r="R9" s="13">
        <v>160</v>
      </c>
      <c r="S9" s="12">
        <v>130</v>
      </c>
      <c r="T9" s="13">
        <v>150</v>
      </c>
      <c r="U9" s="12">
        <v>120</v>
      </c>
      <c r="V9" s="13">
        <v>145</v>
      </c>
      <c r="W9" s="12">
        <v>105</v>
      </c>
      <c r="X9" s="13">
        <v>125</v>
      </c>
      <c r="Y9" s="12">
        <v>85</v>
      </c>
      <c r="Z9" s="13">
        <v>140</v>
      </c>
    </row>
    <row r="10" spans="1:26" ht="13" x14ac:dyDescent="0.3">
      <c r="A10" s="10" t="s">
        <v>20</v>
      </c>
      <c r="B10" s="11">
        <v>13</v>
      </c>
      <c r="C10" s="14">
        <f>C9*1.05</f>
        <v>84</v>
      </c>
      <c r="D10" s="15">
        <f>D9*1.15</f>
        <v>114.99999999999999</v>
      </c>
      <c r="E10" s="14">
        <f>E9*1.05</f>
        <v>89.25</v>
      </c>
      <c r="F10" s="15">
        <f>F9*1.15</f>
        <v>126.49999999999999</v>
      </c>
      <c r="G10" s="14">
        <f>G9*1.05</f>
        <v>115.5</v>
      </c>
      <c r="H10" s="15">
        <f>H9*1.15</f>
        <v>155.25</v>
      </c>
      <c r="I10" s="14">
        <f>I9*1.05</f>
        <v>131.25</v>
      </c>
      <c r="J10" s="15">
        <f>J9*1.15</f>
        <v>172.5</v>
      </c>
      <c r="K10" s="14">
        <f>K9*1.05</f>
        <v>131.25</v>
      </c>
      <c r="L10" s="15">
        <f>L9*1.15</f>
        <v>172.5</v>
      </c>
      <c r="M10" s="14">
        <f>M9*1.05</f>
        <v>126</v>
      </c>
      <c r="N10" s="15">
        <f>N9*1.15</f>
        <v>161</v>
      </c>
      <c r="O10" s="14">
        <f>O9*1.05</f>
        <v>131.25</v>
      </c>
      <c r="P10" s="15">
        <f>P9*1.15</f>
        <v>166.75</v>
      </c>
      <c r="Q10" s="14">
        <f>Q9*1.05</f>
        <v>157.5</v>
      </c>
      <c r="R10" s="15">
        <f>R9*1.15</f>
        <v>184</v>
      </c>
      <c r="S10" s="14">
        <f>S9*1.05</f>
        <v>136.5</v>
      </c>
      <c r="T10" s="15">
        <f>T9*1.15</f>
        <v>172.5</v>
      </c>
      <c r="U10" s="14">
        <f>U9*1.05</f>
        <v>126</v>
      </c>
      <c r="V10" s="15">
        <f>V9*1.15</f>
        <v>166.75</v>
      </c>
      <c r="W10" s="14">
        <f>W9*1.05</f>
        <v>110.25</v>
      </c>
      <c r="X10" s="15">
        <f>X9*1.15</f>
        <v>143.75</v>
      </c>
      <c r="Y10" s="14">
        <f>Y9*1.05</f>
        <v>89.25</v>
      </c>
      <c r="Z10" s="15">
        <f>Z9*1.15</f>
        <v>161</v>
      </c>
    </row>
    <row r="11" spans="1:26" ht="13" x14ac:dyDescent="0.3">
      <c r="A11" s="10" t="s">
        <v>21</v>
      </c>
      <c r="B11" s="11">
        <v>2</v>
      </c>
      <c r="C11" s="14">
        <f t="shared" ref="C11:Z11" si="0">C9*1.15</f>
        <v>92</v>
      </c>
      <c r="D11" s="15">
        <f t="shared" si="0"/>
        <v>114.99999999999999</v>
      </c>
      <c r="E11" s="14">
        <f t="shared" si="0"/>
        <v>97.749999999999986</v>
      </c>
      <c r="F11" s="15">
        <f t="shared" si="0"/>
        <v>126.49999999999999</v>
      </c>
      <c r="G11" s="14">
        <f t="shared" si="0"/>
        <v>126.49999999999999</v>
      </c>
      <c r="H11" s="15">
        <f t="shared" si="0"/>
        <v>155.25</v>
      </c>
      <c r="I11" s="14">
        <f t="shared" si="0"/>
        <v>143.75</v>
      </c>
      <c r="J11" s="15">
        <f t="shared" si="0"/>
        <v>172.5</v>
      </c>
      <c r="K11" s="14">
        <f t="shared" si="0"/>
        <v>143.75</v>
      </c>
      <c r="L11" s="15">
        <f t="shared" si="0"/>
        <v>172.5</v>
      </c>
      <c r="M11" s="14">
        <f t="shared" si="0"/>
        <v>138</v>
      </c>
      <c r="N11" s="15">
        <f t="shared" si="0"/>
        <v>161</v>
      </c>
      <c r="O11" s="14">
        <f t="shared" si="0"/>
        <v>143.75</v>
      </c>
      <c r="P11" s="15">
        <f t="shared" si="0"/>
        <v>166.75</v>
      </c>
      <c r="Q11" s="14">
        <f t="shared" si="0"/>
        <v>172.5</v>
      </c>
      <c r="R11" s="15">
        <f t="shared" si="0"/>
        <v>184</v>
      </c>
      <c r="S11" s="14">
        <f t="shared" si="0"/>
        <v>149.5</v>
      </c>
      <c r="T11" s="15">
        <f t="shared" si="0"/>
        <v>172.5</v>
      </c>
      <c r="U11" s="14">
        <f t="shared" si="0"/>
        <v>138</v>
      </c>
      <c r="V11" s="15">
        <f t="shared" si="0"/>
        <v>166.75</v>
      </c>
      <c r="W11" s="14">
        <f t="shared" si="0"/>
        <v>120.74999999999999</v>
      </c>
      <c r="X11" s="15">
        <f t="shared" si="0"/>
        <v>143.75</v>
      </c>
      <c r="Y11" s="14">
        <f t="shared" si="0"/>
        <v>97.749999999999986</v>
      </c>
      <c r="Z11" s="15">
        <f t="shared" si="0"/>
        <v>161</v>
      </c>
    </row>
    <row r="12" spans="1:26" ht="13" x14ac:dyDescent="0.3">
      <c r="A12" s="10" t="s">
        <v>22</v>
      </c>
      <c r="B12" s="11">
        <v>4</v>
      </c>
      <c r="C12" s="14">
        <f t="shared" ref="C12:F12" si="1">C9*1.15</f>
        <v>92</v>
      </c>
      <c r="D12" s="15">
        <f t="shared" si="1"/>
        <v>114.99999999999999</v>
      </c>
      <c r="E12" s="14">
        <f t="shared" si="1"/>
        <v>97.749999999999986</v>
      </c>
      <c r="F12" s="15">
        <f t="shared" si="1"/>
        <v>126.49999999999999</v>
      </c>
      <c r="G12" s="14">
        <f t="shared" ref="G12:H12" si="2">G9*1.2</f>
        <v>132</v>
      </c>
      <c r="H12" s="15">
        <f t="shared" si="2"/>
        <v>162</v>
      </c>
      <c r="I12" s="14">
        <f t="shared" ref="I12:T12" si="3">I9*1.25</f>
        <v>156.25</v>
      </c>
      <c r="J12" s="15">
        <f t="shared" si="3"/>
        <v>187.5</v>
      </c>
      <c r="K12" s="14">
        <f t="shared" si="3"/>
        <v>156.25</v>
      </c>
      <c r="L12" s="15">
        <f t="shared" si="3"/>
        <v>187.5</v>
      </c>
      <c r="M12" s="14">
        <f t="shared" si="3"/>
        <v>150</v>
      </c>
      <c r="N12" s="15">
        <f t="shared" si="3"/>
        <v>175</v>
      </c>
      <c r="O12" s="14">
        <f t="shared" si="3"/>
        <v>156.25</v>
      </c>
      <c r="P12" s="15">
        <f t="shared" si="3"/>
        <v>181.25</v>
      </c>
      <c r="Q12" s="14">
        <f t="shared" si="3"/>
        <v>187.5</v>
      </c>
      <c r="R12" s="15">
        <f t="shared" si="3"/>
        <v>200</v>
      </c>
      <c r="S12" s="14">
        <f t="shared" si="3"/>
        <v>162.5</v>
      </c>
      <c r="T12" s="15">
        <f t="shared" si="3"/>
        <v>187.5</v>
      </c>
      <c r="U12" s="14">
        <f t="shared" ref="U12:V12" si="4">U9*1.2</f>
        <v>144</v>
      </c>
      <c r="V12" s="15">
        <f t="shared" si="4"/>
        <v>174</v>
      </c>
      <c r="W12" s="14">
        <f t="shared" ref="W12:Z12" si="5">W9*1.15</f>
        <v>120.74999999999999</v>
      </c>
      <c r="X12" s="15">
        <f t="shared" si="5"/>
        <v>143.75</v>
      </c>
      <c r="Y12" s="14">
        <f t="shared" si="5"/>
        <v>97.749999999999986</v>
      </c>
      <c r="Z12" s="15">
        <f t="shared" si="5"/>
        <v>161</v>
      </c>
    </row>
    <row r="13" spans="1:26" ht="13" x14ac:dyDescent="0.3">
      <c r="A13" s="16" t="s">
        <v>23</v>
      </c>
      <c r="B13" s="11">
        <v>4</v>
      </c>
      <c r="C13" s="14">
        <f t="shared" ref="C13:Z13" si="6">C9*1.12</f>
        <v>89.600000000000009</v>
      </c>
      <c r="D13" s="15">
        <f t="shared" si="6"/>
        <v>112.00000000000001</v>
      </c>
      <c r="E13" s="14">
        <f t="shared" si="6"/>
        <v>95.2</v>
      </c>
      <c r="F13" s="15">
        <f t="shared" si="6"/>
        <v>123.20000000000002</v>
      </c>
      <c r="G13" s="14">
        <f t="shared" si="6"/>
        <v>123.20000000000002</v>
      </c>
      <c r="H13" s="15">
        <f t="shared" si="6"/>
        <v>151.20000000000002</v>
      </c>
      <c r="I13" s="14">
        <f t="shared" si="6"/>
        <v>140</v>
      </c>
      <c r="J13" s="15">
        <f t="shared" si="6"/>
        <v>168.00000000000003</v>
      </c>
      <c r="K13" s="14">
        <f t="shared" si="6"/>
        <v>140</v>
      </c>
      <c r="L13" s="15">
        <f t="shared" si="6"/>
        <v>168.00000000000003</v>
      </c>
      <c r="M13" s="14">
        <f t="shared" si="6"/>
        <v>134.4</v>
      </c>
      <c r="N13" s="15">
        <f t="shared" si="6"/>
        <v>156.80000000000001</v>
      </c>
      <c r="O13" s="14">
        <f t="shared" si="6"/>
        <v>140</v>
      </c>
      <c r="P13" s="15">
        <f t="shared" si="6"/>
        <v>162.4</v>
      </c>
      <c r="Q13" s="14">
        <f t="shared" si="6"/>
        <v>168.00000000000003</v>
      </c>
      <c r="R13" s="15">
        <f t="shared" si="6"/>
        <v>179.20000000000002</v>
      </c>
      <c r="S13" s="14">
        <f t="shared" si="6"/>
        <v>145.60000000000002</v>
      </c>
      <c r="T13" s="15">
        <f t="shared" si="6"/>
        <v>168.00000000000003</v>
      </c>
      <c r="U13" s="14">
        <f t="shared" si="6"/>
        <v>134.4</v>
      </c>
      <c r="V13" s="15">
        <f t="shared" si="6"/>
        <v>162.4</v>
      </c>
      <c r="W13" s="14">
        <f t="shared" si="6"/>
        <v>117.60000000000001</v>
      </c>
      <c r="X13" s="15">
        <f t="shared" si="6"/>
        <v>140</v>
      </c>
      <c r="Y13" s="14">
        <f t="shared" si="6"/>
        <v>95.2</v>
      </c>
      <c r="Z13" s="15">
        <f t="shared" si="6"/>
        <v>156.80000000000001</v>
      </c>
    </row>
    <row r="14" spans="1:26" ht="26" x14ac:dyDescent="0.3">
      <c r="A14" s="16" t="s">
        <v>24</v>
      </c>
      <c r="B14" s="4">
        <v>5</v>
      </c>
      <c r="C14" s="14">
        <f t="shared" ref="C14:Z14" si="7">C9*1.3</f>
        <v>104</v>
      </c>
      <c r="D14" s="15">
        <f t="shared" si="7"/>
        <v>130</v>
      </c>
      <c r="E14" s="14">
        <f t="shared" si="7"/>
        <v>110.5</v>
      </c>
      <c r="F14" s="15">
        <f t="shared" si="7"/>
        <v>143</v>
      </c>
      <c r="G14" s="14">
        <f t="shared" si="7"/>
        <v>143</v>
      </c>
      <c r="H14" s="15">
        <f t="shared" si="7"/>
        <v>175.5</v>
      </c>
      <c r="I14" s="14">
        <f t="shared" si="7"/>
        <v>162.5</v>
      </c>
      <c r="J14" s="15">
        <f t="shared" si="7"/>
        <v>195</v>
      </c>
      <c r="K14" s="14">
        <f t="shared" si="7"/>
        <v>162.5</v>
      </c>
      <c r="L14" s="15">
        <f t="shared" si="7"/>
        <v>195</v>
      </c>
      <c r="M14" s="14">
        <f t="shared" si="7"/>
        <v>156</v>
      </c>
      <c r="N14" s="15">
        <f t="shared" si="7"/>
        <v>182</v>
      </c>
      <c r="O14" s="14">
        <f t="shared" si="7"/>
        <v>162.5</v>
      </c>
      <c r="P14" s="15">
        <f t="shared" si="7"/>
        <v>188.5</v>
      </c>
      <c r="Q14" s="14">
        <f t="shared" si="7"/>
        <v>195</v>
      </c>
      <c r="R14" s="15">
        <f t="shared" si="7"/>
        <v>208</v>
      </c>
      <c r="S14" s="14">
        <f t="shared" si="7"/>
        <v>169</v>
      </c>
      <c r="T14" s="15">
        <f t="shared" si="7"/>
        <v>195</v>
      </c>
      <c r="U14" s="14">
        <f t="shared" si="7"/>
        <v>156</v>
      </c>
      <c r="V14" s="15">
        <f t="shared" si="7"/>
        <v>188.5</v>
      </c>
      <c r="W14" s="14">
        <f t="shared" si="7"/>
        <v>136.5</v>
      </c>
      <c r="X14" s="15">
        <f t="shared" si="7"/>
        <v>162.5</v>
      </c>
      <c r="Y14" s="14">
        <f t="shared" si="7"/>
        <v>110.5</v>
      </c>
      <c r="Z14" s="15">
        <f t="shared" si="7"/>
        <v>182</v>
      </c>
    </row>
    <row r="15" spans="1:26" ht="13" x14ac:dyDescent="0.3">
      <c r="A15" s="16" t="s">
        <v>25</v>
      </c>
      <c r="B15" s="4">
        <v>4</v>
      </c>
      <c r="C15" s="14">
        <f t="shared" ref="C15:Z15" si="8">C9*1.4</f>
        <v>112</v>
      </c>
      <c r="D15" s="15">
        <f t="shared" si="8"/>
        <v>140</v>
      </c>
      <c r="E15" s="14">
        <f t="shared" si="8"/>
        <v>118.99999999999999</v>
      </c>
      <c r="F15" s="15">
        <f t="shared" si="8"/>
        <v>154</v>
      </c>
      <c r="G15" s="14">
        <f t="shared" si="8"/>
        <v>154</v>
      </c>
      <c r="H15" s="15">
        <f t="shared" si="8"/>
        <v>189</v>
      </c>
      <c r="I15" s="14">
        <f t="shared" si="8"/>
        <v>175</v>
      </c>
      <c r="J15" s="15">
        <f t="shared" si="8"/>
        <v>210</v>
      </c>
      <c r="K15" s="14">
        <f t="shared" si="8"/>
        <v>175</v>
      </c>
      <c r="L15" s="15">
        <f t="shared" si="8"/>
        <v>210</v>
      </c>
      <c r="M15" s="14">
        <f t="shared" si="8"/>
        <v>168</v>
      </c>
      <c r="N15" s="15">
        <f t="shared" si="8"/>
        <v>196</v>
      </c>
      <c r="O15" s="14">
        <f t="shared" si="8"/>
        <v>175</v>
      </c>
      <c r="P15" s="15">
        <f t="shared" si="8"/>
        <v>203</v>
      </c>
      <c r="Q15" s="14">
        <f t="shared" si="8"/>
        <v>210</v>
      </c>
      <c r="R15" s="15">
        <f t="shared" si="8"/>
        <v>224</v>
      </c>
      <c r="S15" s="14">
        <f t="shared" si="8"/>
        <v>182</v>
      </c>
      <c r="T15" s="15">
        <f t="shared" si="8"/>
        <v>210</v>
      </c>
      <c r="U15" s="14">
        <f t="shared" si="8"/>
        <v>168</v>
      </c>
      <c r="V15" s="15">
        <f t="shared" si="8"/>
        <v>203</v>
      </c>
      <c r="W15" s="14">
        <f t="shared" si="8"/>
        <v>147</v>
      </c>
      <c r="X15" s="15">
        <f t="shared" si="8"/>
        <v>175</v>
      </c>
      <c r="Y15" s="14">
        <f t="shared" si="8"/>
        <v>118.99999999999999</v>
      </c>
      <c r="Z15" s="15">
        <f t="shared" si="8"/>
        <v>196</v>
      </c>
    </row>
    <row r="16" spans="1:26" ht="13" x14ac:dyDescent="0.3">
      <c r="A16" s="16" t="s">
        <v>26</v>
      </c>
      <c r="B16" s="4">
        <v>2</v>
      </c>
      <c r="C16" s="14">
        <f t="shared" ref="C16:H16" si="9">C9*1.65</f>
        <v>132</v>
      </c>
      <c r="D16" s="15">
        <f t="shared" si="9"/>
        <v>165</v>
      </c>
      <c r="E16" s="14">
        <f t="shared" si="9"/>
        <v>140.25</v>
      </c>
      <c r="F16" s="15">
        <f t="shared" si="9"/>
        <v>181.5</v>
      </c>
      <c r="G16" s="14">
        <f t="shared" si="9"/>
        <v>181.5</v>
      </c>
      <c r="H16" s="15">
        <f t="shared" si="9"/>
        <v>222.75</v>
      </c>
      <c r="I16" s="14">
        <f t="shared" ref="I16:R16" si="10">I9*1.75</f>
        <v>218.75</v>
      </c>
      <c r="J16" s="15">
        <f t="shared" si="10"/>
        <v>262.5</v>
      </c>
      <c r="K16" s="14">
        <f t="shared" si="10"/>
        <v>218.75</v>
      </c>
      <c r="L16" s="15">
        <f t="shared" si="10"/>
        <v>262.5</v>
      </c>
      <c r="M16" s="14">
        <f t="shared" si="10"/>
        <v>210</v>
      </c>
      <c r="N16" s="15">
        <f t="shared" si="10"/>
        <v>245</v>
      </c>
      <c r="O16" s="14">
        <f t="shared" si="10"/>
        <v>218.75</v>
      </c>
      <c r="P16" s="15">
        <f t="shared" si="10"/>
        <v>253.75</v>
      </c>
      <c r="Q16" s="14">
        <f t="shared" si="10"/>
        <v>262.5</v>
      </c>
      <c r="R16" s="15">
        <f t="shared" si="10"/>
        <v>280</v>
      </c>
      <c r="S16" s="14">
        <f t="shared" ref="S16:Z16" si="11">S9*1.65</f>
        <v>214.5</v>
      </c>
      <c r="T16" s="15">
        <f t="shared" si="11"/>
        <v>247.5</v>
      </c>
      <c r="U16" s="14">
        <f t="shared" si="11"/>
        <v>198</v>
      </c>
      <c r="V16" s="15">
        <f t="shared" si="11"/>
        <v>239.25</v>
      </c>
      <c r="W16" s="14">
        <f t="shared" si="11"/>
        <v>173.25</v>
      </c>
      <c r="X16" s="15">
        <f t="shared" si="11"/>
        <v>206.25</v>
      </c>
      <c r="Y16" s="14">
        <f t="shared" si="11"/>
        <v>140.25</v>
      </c>
      <c r="Z16" s="15">
        <f t="shared" si="11"/>
        <v>231</v>
      </c>
    </row>
    <row r="17" spans="1:26" ht="13" x14ac:dyDescent="0.3">
      <c r="A17" s="16"/>
      <c r="B17" s="4">
        <v>56</v>
      </c>
      <c r="C17" s="17">
        <f t="shared" ref="C17:Z17" si="12">($B9*C9*C8*C7)+($B10*C10*C8*C7)+($B11*C11*C8*C7)+($B12*C12*C8*C7)+($B13*C13*C8*C7)+($B14*C14*C8*C7)+($B15*C15*C8*C7)+($B16+C16+C8*C7)</f>
        <v>52179.4</v>
      </c>
      <c r="D17" s="18">
        <f t="shared" si="12"/>
        <v>43381.599999999999</v>
      </c>
      <c r="E17" s="17">
        <f t="shared" si="12"/>
        <v>62477.67</v>
      </c>
      <c r="F17" s="18">
        <f t="shared" si="12"/>
        <v>40073.300000000003</v>
      </c>
      <c r="G17" s="17">
        <f t="shared" si="12"/>
        <v>100703.91999999998</v>
      </c>
      <c r="H17" s="18">
        <f t="shared" si="12"/>
        <v>62848.032500000001</v>
      </c>
      <c r="I17" s="17">
        <f t="shared" si="12"/>
        <v>104709.93999999999</v>
      </c>
      <c r="J17" s="18">
        <f t="shared" si="12"/>
        <v>96629.78</v>
      </c>
      <c r="K17" s="17">
        <f t="shared" si="12"/>
        <v>119296.75</v>
      </c>
      <c r="L17" s="18">
        <f t="shared" si="12"/>
        <v>88599.34</v>
      </c>
      <c r="M17" s="17">
        <f t="shared" si="12"/>
        <v>117240.54800000002</v>
      </c>
      <c r="N17" s="18">
        <f t="shared" si="12"/>
        <v>65403.58</v>
      </c>
      <c r="O17" s="17">
        <f t="shared" si="12"/>
        <v>136116.23500000002</v>
      </c>
      <c r="P17" s="18">
        <f t="shared" si="12"/>
        <v>71708.685000000012</v>
      </c>
      <c r="Q17" s="17">
        <f t="shared" si="12"/>
        <v>167264.85</v>
      </c>
      <c r="R17" s="18">
        <f t="shared" si="12"/>
        <v>79125.780000000013</v>
      </c>
      <c r="S17" s="17">
        <f t="shared" si="12"/>
        <v>133497.57799999998</v>
      </c>
      <c r="T17" s="18">
        <f t="shared" si="12"/>
        <v>71702.165000000008</v>
      </c>
      <c r="U17" s="17">
        <f t="shared" si="12"/>
        <v>101668.55</v>
      </c>
      <c r="V17" s="18">
        <f t="shared" si="12"/>
        <v>86757.973999999987</v>
      </c>
      <c r="W17" s="17">
        <f t="shared" si="12"/>
        <v>80900.7</v>
      </c>
      <c r="X17" s="18">
        <f t="shared" si="12"/>
        <v>56868.875</v>
      </c>
      <c r="Y17" s="17">
        <f t="shared" si="12"/>
        <v>54434.389999999992</v>
      </c>
      <c r="Z17" s="18">
        <f t="shared" si="12"/>
        <v>81460.52</v>
      </c>
    </row>
    <row r="18" spans="1:26" ht="12.5" x14ac:dyDescent="0.25">
      <c r="A18" s="4"/>
      <c r="B18" s="4"/>
      <c r="C18" s="19"/>
      <c r="D18" s="20"/>
      <c r="E18" s="19"/>
      <c r="F18" s="20"/>
      <c r="G18" s="19"/>
      <c r="H18" s="20"/>
      <c r="I18" s="19"/>
      <c r="J18" s="20"/>
      <c r="K18" s="19"/>
      <c r="L18" s="20"/>
      <c r="M18" s="19"/>
      <c r="N18" s="20"/>
      <c r="O18" s="19"/>
      <c r="P18" s="20"/>
      <c r="Q18" s="19"/>
      <c r="R18" s="20"/>
      <c r="S18" s="19"/>
      <c r="T18" s="20"/>
      <c r="U18" s="19"/>
      <c r="V18" s="20"/>
      <c r="W18" s="19"/>
      <c r="X18" s="20"/>
      <c r="Y18" s="19"/>
      <c r="Z18" s="20"/>
    </row>
    <row r="19" spans="1:26" ht="13" thickBot="1" x14ac:dyDescent="0.3">
      <c r="A19" s="4"/>
      <c r="B19" s="4"/>
      <c r="C19" s="312">
        <f>C17+D17</f>
        <v>95561</v>
      </c>
      <c r="D19" s="313"/>
      <c r="E19" s="312">
        <f>E17+F17</f>
        <v>102550.97</v>
      </c>
      <c r="F19" s="313"/>
      <c r="G19" s="312">
        <f>G17+H17</f>
        <v>163551.95249999998</v>
      </c>
      <c r="H19" s="313"/>
      <c r="I19" s="312">
        <f>I17+J17</f>
        <v>201339.71999999997</v>
      </c>
      <c r="J19" s="313"/>
      <c r="K19" s="312">
        <f>K17+L17</f>
        <v>207896.09</v>
      </c>
      <c r="L19" s="313"/>
      <c r="M19" s="312">
        <f>M17+N17</f>
        <v>182644.12800000003</v>
      </c>
      <c r="N19" s="313"/>
      <c r="O19" s="312">
        <f>O17+P17</f>
        <v>207824.92000000004</v>
      </c>
      <c r="P19" s="313"/>
      <c r="Q19" s="312">
        <f>Q17+R17</f>
        <v>246390.63</v>
      </c>
      <c r="R19" s="313"/>
      <c r="S19" s="312">
        <f>S17+T17</f>
        <v>205199.74299999999</v>
      </c>
      <c r="T19" s="313"/>
      <c r="U19" s="312">
        <f>U17+V17</f>
        <v>188426.52399999998</v>
      </c>
      <c r="V19" s="313"/>
      <c r="W19" s="312">
        <f>W17+X17</f>
        <v>137769.57500000001</v>
      </c>
      <c r="X19" s="313"/>
      <c r="Y19" s="312">
        <f>Y17+Z17</f>
        <v>135894.91</v>
      </c>
      <c r="Z19" s="313"/>
    </row>
    <row r="20" spans="1:26" ht="13" thickTop="1" x14ac:dyDescent="0.25">
      <c r="A20" s="4"/>
      <c r="B20" s="4" t="s">
        <v>27</v>
      </c>
      <c r="C20" s="11">
        <f>(C7*C8+D7*D8)</f>
        <v>18.149999999999999</v>
      </c>
      <c r="D20" s="4"/>
      <c r="E20" s="11">
        <f>(E7*E8+F7*F8)</f>
        <v>18.399999999999999</v>
      </c>
      <c r="F20" s="4"/>
      <c r="G20" s="11">
        <f>(G7*G8+H7*H8)</f>
        <v>23.049999999999997</v>
      </c>
      <c r="H20" s="4"/>
      <c r="I20" s="11">
        <f>(I7*I8+J7*J8)</f>
        <v>24.6</v>
      </c>
      <c r="J20" s="4"/>
      <c r="K20" s="11">
        <f>(K7*K8+L7*L8)</f>
        <v>25.68</v>
      </c>
      <c r="L20" s="4"/>
      <c r="M20" s="11">
        <f>(M7*M8+N7*N8)</f>
        <v>24.029999999999998</v>
      </c>
      <c r="N20" s="4"/>
      <c r="O20" s="11">
        <f>(O7*O8+P7*P8)</f>
        <v>26.36</v>
      </c>
      <c r="P20" s="4"/>
      <c r="Q20" s="11">
        <f>(Q7*Q8+R7*R8)</f>
        <v>26.799999999999997</v>
      </c>
      <c r="R20" s="4"/>
      <c r="S20" s="11">
        <f>(S7*S8+T7*T8)</f>
        <v>25.049999999999997</v>
      </c>
      <c r="T20" s="4"/>
      <c r="U20" s="11">
        <f>(U7*U8+V7*V8)</f>
        <v>24.09</v>
      </c>
      <c r="V20" s="4"/>
      <c r="W20" s="11">
        <f>(W7*W8+X7*X8)</f>
        <v>20.5</v>
      </c>
      <c r="X20" s="4"/>
      <c r="Y20" s="11">
        <f>(Y7*Y8+Z7*Z8)</f>
        <v>20.399999999999999</v>
      </c>
      <c r="Z20" s="4"/>
    </row>
    <row r="21" spans="1:26" ht="12.5" x14ac:dyDescent="0.25">
      <c r="A21" s="4"/>
      <c r="B21" s="4"/>
      <c r="C21" s="11">
        <f>C8+D8</f>
        <v>31</v>
      </c>
      <c r="D21" s="4"/>
      <c r="E21" s="11">
        <f>E8+F8</f>
        <v>28</v>
      </c>
      <c r="F21" s="4"/>
      <c r="G21" s="11">
        <f>G8+H8</f>
        <v>31</v>
      </c>
      <c r="H21" s="4"/>
      <c r="I21" s="11">
        <f>I8+J8</f>
        <v>30</v>
      </c>
      <c r="J21" s="4"/>
      <c r="K21" s="11">
        <f>K8+L8</f>
        <v>31</v>
      </c>
      <c r="L21" s="4"/>
      <c r="M21" s="11">
        <f>M8+N8</f>
        <v>30</v>
      </c>
      <c r="N21" s="4"/>
      <c r="O21" s="11">
        <f>O8+P8</f>
        <v>31</v>
      </c>
      <c r="P21" s="4"/>
      <c r="Q21" s="11">
        <f>Q8+R8</f>
        <v>31</v>
      </c>
      <c r="R21" s="4"/>
      <c r="S21" s="11">
        <f>S8+T8</f>
        <v>30</v>
      </c>
      <c r="T21" s="4"/>
      <c r="U21" s="11">
        <f>U8+V8</f>
        <v>31</v>
      </c>
      <c r="V21" s="4"/>
      <c r="W21" s="11">
        <f>W8+X8</f>
        <v>30</v>
      </c>
      <c r="X21" s="4"/>
      <c r="Y21" s="11">
        <f>Y8+Z8</f>
        <v>30</v>
      </c>
      <c r="Z21" s="4"/>
    </row>
    <row r="22" spans="1:26" ht="12.5" x14ac:dyDescent="0.25">
      <c r="A22" s="4"/>
      <c r="B22" s="4"/>
      <c r="C22" s="21">
        <f>C20/C21</f>
        <v>0.5854838709677419</v>
      </c>
      <c r="D22" s="4"/>
      <c r="E22" s="21">
        <f>E20/E21</f>
        <v>0.65714285714285714</v>
      </c>
      <c r="F22" s="4"/>
      <c r="G22" s="21">
        <f>G20/G21</f>
        <v>0.74354838709677407</v>
      </c>
      <c r="H22" s="4"/>
      <c r="I22" s="21">
        <f>I20/I21</f>
        <v>0.82000000000000006</v>
      </c>
      <c r="J22" s="4"/>
      <c r="K22" s="21">
        <f>K20/K21</f>
        <v>0.82838709677419353</v>
      </c>
      <c r="L22" s="4"/>
      <c r="M22" s="21">
        <f>M20/M21</f>
        <v>0.80099999999999993</v>
      </c>
      <c r="N22" s="4"/>
      <c r="O22" s="21">
        <f>O20/O21</f>
        <v>0.85032258064516131</v>
      </c>
      <c r="P22" s="4"/>
      <c r="Q22" s="21">
        <f>Q20/Q21</f>
        <v>0.86451612903225794</v>
      </c>
      <c r="R22" s="4"/>
      <c r="S22" s="21">
        <f>S20/S21</f>
        <v>0.83499999999999985</v>
      </c>
      <c r="T22" s="4"/>
      <c r="U22" s="21">
        <f>U20/U21</f>
        <v>0.77709677419354839</v>
      </c>
      <c r="V22" s="4"/>
      <c r="W22" s="21">
        <f>W20/W21</f>
        <v>0.68333333333333335</v>
      </c>
      <c r="X22" s="4"/>
      <c r="Y22" s="21">
        <f>Y20/Y21</f>
        <v>0.67999999999999994</v>
      </c>
      <c r="Z22" s="4"/>
    </row>
    <row r="23" spans="1:26" ht="12.5" x14ac:dyDescent="0.25">
      <c r="A23" s="4"/>
      <c r="B23" s="21">
        <f>C22*C21+E22*E21+G22*G21+I22*I21+K22*K21+M22*M21+O22*O21+Q22*Q21+S22*S21+U22*U21+W22*W21+Y22*Y21</f>
        <v>277.11</v>
      </c>
      <c r="C23" s="22">
        <f>B23/365</f>
        <v>0.75920547945205485</v>
      </c>
      <c r="D23" s="4"/>
      <c r="E23" s="4"/>
      <c r="F23" s="4"/>
      <c r="G23" s="4"/>
      <c r="H23" s="4"/>
      <c r="I23" s="2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x14ac:dyDescent="0.25">
      <c r="A24" s="24" t="s">
        <v>28</v>
      </c>
      <c r="B24" s="25"/>
      <c r="C24" s="23">
        <f>C19/(C21*$B$17*C6)</f>
        <v>94.019086973632426</v>
      </c>
      <c r="D24" s="4"/>
      <c r="E24" s="23">
        <f>E19/(E21*$B$17*E6)</f>
        <v>99.525397903726699</v>
      </c>
      <c r="F24" s="4"/>
      <c r="G24" s="23">
        <f>G19/(G21*$B$17*G6)</f>
        <v>126.70588201115589</v>
      </c>
      <c r="H24" s="4"/>
      <c r="I24" s="23">
        <f>I19/(I21*$B$17*I6)</f>
        <v>146.15252613240415</v>
      </c>
      <c r="J24" s="4"/>
      <c r="K24" s="23">
        <f>K19/(K21*$B$17*K6)</f>
        <v>144.56503810636406</v>
      </c>
      <c r="L24" s="4"/>
      <c r="M24" s="23">
        <f>M19/(M21*$B$17*M6)</f>
        <v>135.72627073301234</v>
      </c>
      <c r="N24" s="4"/>
      <c r="O24" s="23">
        <f>O19/(O21*$B$17*O6)</f>
        <v>140.78752980706702</v>
      </c>
      <c r="P24" s="4"/>
      <c r="Q24" s="23">
        <f>Q19/(Q21*$B$17*Q6)</f>
        <v>164.17286114072499</v>
      </c>
      <c r="R24" s="4"/>
      <c r="S24" s="23">
        <f>S19/(S21*$B$17*S6)</f>
        <v>146.27868762475052</v>
      </c>
      <c r="T24" s="4"/>
      <c r="U24" s="23">
        <f>U19/(U21*$B$17*U6)</f>
        <v>139.6745270711024</v>
      </c>
      <c r="V24" s="4"/>
      <c r="W24" s="23">
        <f>W19/(W21*$B$17*W6)</f>
        <v>120.00834059233451</v>
      </c>
      <c r="X24" s="4"/>
      <c r="Y24" s="23">
        <f>Y19/(Y21*$B$17*Y6)</f>
        <v>118.95562850140058</v>
      </c>
      <c r="Z24" s="4"/>
    </row>
    <row r="25" spans="1:26" ht="12.5" x14ac:dyDescent="0.25">
      <c r="A25" s="24"/>
      <c r="B25" s="25"/>
      <c r="C25" s="23"/>
      <c r="D25" s="4"/>
      <c r="E25" s="23"/>
      <c r="F25" s="4"/>
      <c r="G25" s="23"/>
      <c r="H25" s="4"/>
      <c r="I25" s="23"/>
      <c r="J25" s="4"/>
      <c r="K25" s="23"/>
      <c r="L25" s="4"/>
      <c r="M25" s="23"/>
      <c r="N25" s="4"/>
      <c r="O25" s="23"/>
      <c r="P25" s="4"/>
      <c r="Q25" s="23"/>
      <c r="R25" s="4"/>
      <c r="S25" s="23"/>
      <c r="T25" s="4"/>
      <c r="U25" s="23"/>
      <c r="V25" s="4"/>
      <c r="W25" s="23"/>
      <c r="X25" s="4"/>
      <c r="Y25" s="23"/>
      <c r="Z25" s="4"/>
    </row>
    <row r="26" spans="1:26" ht="12.5" x14ac:dyDescent="0.25">
      <c r="A26" s="24"/>
      <c r="B26" s="25"/>
      <c r="C26" s="23"/>
      <c r="D26" s="4"/>
      <c r="E26" s="23"/>
      <c r="F26" s="4"/>
      <c r="G26" s="23"/>
      <c r="H26" s="4"/>
      <c r="I26" s="23"/>
      <c r="J26" s="4"/>
      <c r="K26" s="23"/>
      <c r="L26" s="4"/>
      <c r="M26" s="23"/>
      <c r="N26" s="4"/>
      <c r="O26" s="23"/>
      <c r="P26" s="4"/>
      <c r="Q26" s="23"/>
      <c r="R26" s="4"/>
      <c r="S26" s="23"/>
      <c r="T26" s="4"/>
      <c r="U26" s="23"/>
      <c r="V26" s="4"/>
      <c r="W26" s="23"/>
      <c r="X26" s="4"/>
      <c r="Y26" s="23"/>
      <c r="Z26" s="4"/>
    </row>
    <row r="27" spans="1:26" ht="12.5" x14ac:dyDescent="0.25">
      <c r="A27" s="26"/>
      <c r="B27" s="27"/>
      <c r="C27" s="27"/>
      <c r="D27" s="28"/>
      <c r="E27" s="4"/>
      <c r="F27" s="4"/>
      <c r="G27" s="4"/>
      <c r="H27" s="4"/>
      <c r="I27" s="4"/>
      <c r="J27" s="2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26" t="s">
        <v>29</v>
      </c>
      <c r="B28" s="314">
        <f>SUM(C19:Z19)</f>
        <v>2075050.1624999996</v>
      </c>
      <c r="C28" s="315"/>
      <c r="D28" s="28" t="s">
        <v>30</v>
      </c>
      <c r="E28" s="4"/>
      <c r="F28" s="4">
        <f>+B28/1.1</f>
        <v>1886409.2386363631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26" t="s">
        <v>31</v>
      </c>
      <c r="B29" s="28"/>
      <c r="C29" s="29">
        <f>C23</f>
        <v>0.75920547945205485</v>
      </c>
      <c r="D29" s="2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30" t="s">
        <v>32</v>
      </c>
      <c r="B30" s="31"/>
      <c r="C30" s="32">
        <f>AVERAGE(C24:Z24)</f>
        <v>131.38098138313964</v>
      </c>
      <c r="D30" s="31"/>
      <c r="G30" s="1"/>
    </row>
    <row r="32" spans="1:26" ht="13" x14ac:dyDescent="0.3">
      <c r="A32" s="33" t="s">
        <v>33</v>
      </c>
      <c r="C32" s="3">
        <f>+C30/1.1</f>
        <v>119.43725580285421</v>
      </c>
    </row>
    <row r="34" spans="3:8" ht="15.75" customHeight="1" x14ac:dyDescent="0.25">
      <c r="C34" s="3">
        <v>140</v>
      </c>
      <c r="D34" s="35">
        <f>+(C32/$C$34)-1</f>
        <v>-0.14687674426532704</v>
      </c>
    </row>
    <row r="35" spans="3:8" ht="15.75" customHeight="1" x14ac:dyDescent="0.25">
      <c r="D35" s="35"/>
      <c r="H35" s="1"/>
    </row>
    <row r="36" spans="3:8" ht="15.75" customHeight="1" x14ac:dyDescent="0.25">
      <c r="C36" s="3">
        <v>133</v>
      </c>
      <c r="D36" s="35">
        <f>+(C32/$C$36)-1</f>
        <v>-0.10197552027929169</v>
      </c>
    </row>
    <row r="37" spans="3:8" ht="12.5" x14ac:dyDescent="0.25">
      <c r="C37" s="34"/>
    </row>
  </sheetData>
  <mergeCells count="37">
    <mergeCell ref="M5:N5"/>
    <mergeCell ref="O5:P5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W6:X6"/>
    <mergeCell ref="Y6:Z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Q19:R19"/>
    <mergeCell ref="S19:T19"/>
    <mergeCell ref="U19:V19"/>
    <mergeCell ref="W19:X19"/>
    <mergeCell ref="Y19:Z19"/>
    <mergeCell ref="M19:N19"/>
    <mergeCell ref="O19:P19"/>
    <mergeCell ref="B28:C28"/>
    <mergeCell ref="C19:D19"/>
    <mergeCell ref="E19:F19"/>
    <mergeCell ref="G19:H19"/>
    <mergeCell ref="I19:J19"/>
    <mergeCell ref="K19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FFE4-6CD4-4342-9015-F0165167AFB8}">
  <dimension ref="A2:AC168"/>
  <sheetViews>
    <sheetView workbookViewId="0"/>
  </sheetViews>
  <sheetFormatPr defaultColWidth="9.1796875" defaultRowHeight="15" x14ac:dyDescent="0.4"/>
  <cols>
    <col min="1" max="1" width="8.7265625" customWidth="1"/>
    <col min="2" max="2" width="15.7265625" customWidth="1"/>
    <col min="3" max="3" width="9.453125" customWidth="1"/>
    <col min="4" max="4" width="2.54296875" customWidth="1"/>
    <col min="5" max="5" width="9.81640625" style="69" customWidth="1"/>
    <col min="6" max="6" width="41.1796875" style="46" customWidth="1"/>
    <col min="7" max="7" width="2" style="46" customWidth="1"/>
    <col min="8" max="8" width="9.81640625" style="46" bestFit="1" customWidth="1"/>
    <col min="9" max="9" width="11.7265625" style="46" customWidth="1"/>
    <col min="10" max="10" width="2" style="46" customWidth="1"/>
    <col min="11" max="20" width="12.453125" style="46" customWidth="1"/>
    <col min="21" max="21" width="2" style="46" customWidth="1"/>
    <col min="22" max="22" width="9.7265625" style="46" customWidth="1"/>
    <col min="23" max="23" width="16.7265625" style="69" customWidth="1"/>
    <col min="24" max="16384" width="9.1796875" style="46"/>
  </cols>
  <sheetData>
    <row r="2" spans="3:23" ht="21.5" x14ac:dyDescent="0.6">
      <c r="F2" s="47"/>
      <c r="H2" s="48"/>
      <c r="N2" s="131"/>
      <c r="O2" s="131"/>
      <c r="P2" s="131"/>
      <c r="Q2" s="131"/>
      <c r="R2" s="131"/>
      <c r="S2" s="131"/>
      <c r="T2" s="131"/>
    </row>
    <row r="3" spans="3:23" x14ac:dyDescent="0.4">
      <c r="I3" s="133"/>
      <c r="J3" s="125"/>
      <c r="K3" s="133"/>
    </row>
    <row r="4" spans="3:23" x14ac:dyDescent="0.4">
      <c r="C4" s="113" t="s">
        <v>115</v>
      </c>
      <c r="H4" s="132" t="s">
        <v>35</v>
      </c>
      <c r="I4" s="134" t="s">
        <v>125</v>
      </c>
      <c r="J4" s="138"/>
      <c r="K4" s="134" t="s">
        <v>124</v>
      </c>
      <c r="N4" s="129"/>
      <c r="O4" s="129"/>
      <c r="P4" s="129"/>
      <c r="Q4" s="129"/>
      <c r="R4" s="129"/>
      <c r="S4" s="129"/>
      <c r="T4" s="129"/>
      <c r="W4" s="140"/>
    </row>
    <row r="5" spans="3:23" ht="9" customHeight="1" x14ac:dyDescent="0.4">
      <c r="C5" s="113"/>
      <c r="H5" s="132"/>
      <c r="I5" s="134"/>
      <c r="J5" s="138"/>
      <c r="K5" s="134"/>
      <c r="N5" s="129"/>
      <c r="O5" s="129"/>
      <c r="P5" s="129"/>
      <c r="Q5" s="129"/>
      <c r="R5" s="129"/>
      <c r="S5" s="129"/>
      <c r="T5" s="129"/>
      <c r="W5" s="140"/>
    </row>
    <row r="6" spans="3:23" ht="18" customHeight="1" x14ac:dyDescent="0.4">
      <c r="C6" s="62">
        <v>35000</v>
      </c>
      <c r="F6" s="58" t="s">
        <v>116</v>
      </c>
      <c r="H6" s="139">
        <v>1</v>
      </c>
      <c r="I6" s="57">
        <f t="shared" ref="I6:I14" si="0">+C6</f>
        <v>35000</v>
      </c>
      <c r="K6" s="57">
        <f t="shared" ref="K6:K14" si="1">+C6*H6</f>
        <v>35000</v>
      </c>
      <c r="N6" s="57"/>
      <c r="O6" s="57"/>
      <c r="P6" s="57"/>
      <c r="Q6" s="57"/>
      <c r="R6" s="57"/>
      <c r="S6" s="57"/>
      <c r="T6" s="57"/>
    </row>
    <row r="7" spans="3:23" ht="18" customHeight="1" x14ac:dyDescent="0.4">
      <c r="C7" s="62">
        <v>5000</v>
      </c>
      <c r="F7" s="58" t="s">
        <v>19</v>
      </c>
      <c r="H7" s="139">
        <v>22</v>
      </c>
      <c r="I7" s="57">
        <f t="shared" si="0"/>
        <v>5000</v>
      </c>
      <c r="K7" s="57">
        <f t="shared" si="1"/>
        <v>110000</v>
      </c>
      <c r="N7" s="57"/>
      <c r="O7" s="57"/>
      <c r="P7" s="57"/>
      <c r="Q7" s="57"/>
      <c r="R7" s="57"/>
      <c r="S7" s="57"/>
      <c r="T7" s="57"/>
    </row>
    <row r="8" spans="3:23" ht="18" customHeight="1" x14ac:dyDescent="0.4">
      <c r="C8" s="62">
        <v>5500</v>
      </c>
      <c r="F8" s="58" t="s">
        <v>20</v>
      </c>
      <c r="H8" s="139">
        <v>13</v>
      </c>
      <c r="I8" s="57">
        <f t="shared" si="0"/>
        <v>5500</v>
      </c>
      <c r="K8" s="57">
        <f t="shared" si="1"/>
        <v>71500</v>
      </c>
      <c r="N8" s="57"/>
      <c r="O8" s="57"/>
      <c r="P8" s="57"/>
      <c r="Q8" s="57"/>
      <c r="R8" s="57"/>
      <c r="S8" s="57"/>
      <c r="T8" s="57"/>
    </row>
    <row r="9" spans="3:23" ht="18" customHeight="1" x14ac:dyDescent="0.4">
      <c r="C9" s="62">
        <v>6000</v>
      </c>
      <c r="F9" s="58" t="s">
        <v>21</v>
      </c>
      <c r="H9" s="139">
        <v>2</v>
      </c>
      <c r="I9" s="57">
        <f t="shared" si="0"/>
        <v>6000</v>
      </c>
      <c r="K9" s="57">
        <f t="shared" si="1"/>
        <v>12000</v>
      </c>
      <c r="N9" s="57"/>
      <c r="O9" s="57"/>
      <c r="P9" s="57"/>
      <c r="Q9" s="57"/>
      <c r="R9" s="57"/>
      <c r="S9" s="57"/>
      <c r="T9" s="57"/>
    </row>
    <row r="10" spans="3:23" ht="18" customHeight="1" x14ac:dyDescent="0.4">
      <c r="C10" s="62">
        <v>7000</v>
      </c>
      <c r="F10" s="58" t="s">
        <v>22</v>
      </c>
      <c r="H10" s="139">
        <v>4</v>
      </c>
      <c r="I10" s="57">
        <f t="shared" si="0"/>
        <v>7000</v>
      </c>
      <c r="K10" s="57">
        <f t="shared" si="1"/>
        <v>28000</v>
      </c>
      <c r="N10" s="57"/>
      <c r="O10" s="57"/>
      <c r="P10" s="57"/>
      <c r="Q10" s="57"/>
      <c r="R10" s="57"/>
      <c r="S10" s="57"/>
      <c r="T10" s="57"/>
    </row>
    <row r="11" spans="3:23" ht="18" customHeight="1" x14ac:dyDescent="0.4">
      <c r="C11" s="62">
        <v>7000</v>
      </c>
      <c r="F11" s="58" t="s">
        <v>23</v>
      </c>
      <c r="H11" s="139">
        <v>4</v>
      </c>
      <c r="I11" s="57">
        <f t="shared" si="0"/>
        <v>7000</v>
      </c>
      <c r="K11" s="57">
        <f t="shared" si="1"/>
        <v>28000</v>
      </c>
      <c r="N11" s="57"/>
      <c r="O11" s="57"/>
      <c r="P11" s="57"/>
      <c r="Q11" s="57"/>
      <c r="R11" s="57"/>
      <c r="S11" s="57"/>
      <c r="T11" s="57"/>
    </row>
    <row r="12" spans="3:23" ht="18" customHeight="1" x14ac:dyDescent="0.4">
      <c r="C12" s="62">
        <v>7000</v>
      </c>
      <c r="F12" s="58" t="s">
        <v>24</v>
      </c>
      <c r="H12" s="139">
        <v>5</v>
      </c>
      <c r="I12" s="57">
        <f t="shared" si="0"/>
        <v>7000</v>
      </c>
      <c r="K12" s="57">
        <f t="shared" si="1"/>
        <v>35000</v>
      </c>
      <c r="N12" s="57"/>
      <c r="O12" s="57"/>
      <c r="P12" s="57"/>
      <c r="Q12" s="57"/>
      <c r="R12" s="57"/>
      <c r="S12" s="57"/>
      <c r="T12" s="57"/>
    </row>
    <row r="13" spans="3:23" ht="18" customHeight="1" x14ac:dyDescent="0.4">
      <c r="C13" s="62">
        <v>7000</v>
      </c>
      <c r="F13" s="58" t="s">
        <v>25</v>
      </c>
      <c r="H13" s="139">
        <v>4</v>
      </c>
      <c r="I13" s="57">
        <f t="shared" si="0"/>
        <v>7000</v>
      </c>
      <c r="K13" s="57">
        <f t="shared" si="1"/>
        <v>28000</v>
      </c>
      <c r="N13" s="57"/>
      <c r="O13" s="57"/>
      <c r="P13" s="57"/>
      <c r="Q13" s="57"/>
      <c r="R13" s="57"/>
      <c r="S13" s="57"/>
      <c r="T13" s="57"/>
    </row>
    <row r="14" spans="3:23" ht="18" customHeight="1" x14ac:dyDescent="0.4">
      <c r="C14" s="62">
        <v>8000</v>
      </c>
      <c r="F14" s="58" t="s">
        <v>26</v>
      </c>
      <c r="H14" s="139">
        <v>2</v>
      </c>
      <c r="I14" s="57">
        <f t="shared" si="0"/>
        <v>8000</v>
      </c>
      <c r="K14" s="57">
        <f t="shared" si="1"/>
        <v>16000</v>
      </c>
      <c r="N14" s="57"/>
      <c r="O14" s="57"/>
      <c r="P14" s="57"/>
      <c r="Q14" s="57"/>
      <c r="R14" s="57"/>
      <c r="S14" s="57"/>
      <c r="T14" s="57"/>
    </row>
    <row r="15" spans="3:23" ht="9" customHeight="1" x14ac:dyDescent="0.4">
      <c r="C15" s="127"/>
      <c r="F15" s="58"/>
      <c r="H15" s="66"/>
      <c r="I15" s="57"/>
      <c r="K15" s="57"/>
      <c r="N15" s="57"/>
      <c r="O15" s="57"/>
      <c r="P15" s="57"/>
      <c r="Q15" s="57"/>
      <c r="R15" s="57"/>
      <c r="S15" s="57"/>
      <c r="T15" s="57"/>
    </row>
    <row r="16" spans="3:23" ht="18" customHeight="1" x14ac:dyDescent="0.5">
      <c r="C16" s="127"/>
      <c r="F16" s="59" t="s">
        <v>126</v>
      </c>
      <c r="G16" s="135"/>
      <c r="H16" s="136"/>
      <c r="I16" s="136"/>
      <c r="J16" s="135"/>
      <c r="K16" s="137">
        <f>+SUM(K6:K14)</f>
        <v>363500</v>
      </c>
      <c r="L16" s="57"/>
      <c r="M16" s="57"/>
      <c r="N16" s="57"/>
      <c r="O16" s="57"/>
      <c r="P16" s="57"/>
      <c r="Q16" s="57"/>
      <c r="R16" s="57"/>
      <c r="S16" s="57"/>
      <c r="T16" s="57"/>
    </row>
    <row r="17" spans="1:23" ht="18" customHeight="1" x14ac:dyDescent="0.4">
      <c r="C17" s="127"/>
      <c r="F17" s="58"/>
      <c r="H17" s="66"/>
      <c r="I17" s="66"/>
      <c r="K17" s="57"/>
      <c r="L17" s="57"/>
      <c r="M17" s="57"/>
      <c r="N17" s="57"/>
      <c r="O17" s="57"/>
      <c r="P17" s="57"/>
      <c r="Q17" s="57"/>
      <c r="R17" s="57"/>
      <c r="S17" s="57"/>
      <c r="T17" s="57"/>
    </row>
    <row r="18" spans="1:23" ht="18" customHeight="1" x14ac:dyDescent="0.4">
      <c r="C18" s="127"/>
      <c r="F18" s="58"/>
      <c r="H18" s="66"/>
      <c r="I18" s="66"/>
      <c r="K18" s="57"/>
      <c r="L18" s="57"/>
      <c r="M18" s="57"/>
      <c r="N18" s="57"/>
      <c r="O18" s="57"/>
      <c r="P18" s="57"/>
      <c r="Q18" s="57"/>
      <c r="R18" s="57"/>
      <c r="S18" s="57"/>
      <c r="T18" s="57"/>
    </row>
    <row r="19" spans="1:23" x14ac:dyDescent="0.4">
      <c r="F19" s="55" t="s">
        <v>48</v>
      </c>
      <c r="G19" s="56"/>
      <c r="H19" s="56" t="s">
        <v>47</v>
      </c>
      <c r="I19" s="56"/>
      <c r="J19" s="56"/>
      <c r="K19" s="56">
        <v>140.9</v>
      </c>
      <c r="L19" s="56">
        <v>154.1</v>
      </c>
      <c r="M19" s="56">
        <v>169.5</v>
      </c>
      <c r="N19" s="56">
        <f>+M19*(1+$H$27)</f>
        <v>174.58500000000001</v>
      </c>
      <c r="O19" s="56">
        <f t="shared" ref="O19:T19" si="2">+N19*(1+$H$27)</f>
        <v>179.82255000000001</v>
      </c>
      <c r="P19" s="56">
        <f t="shared" si="2"/>
        <v>185.21722650000001</v>
      </c>
      <c r="Q19" s="56">
        <f t="shared" si="2"/>
        <v>190.773743295</v>
      </c>
      <c r="R19" s="56">
        <f t="shared" si="2"/>
        <v>196.49695559385</v>
      </c>
      <c r="S19" s="56">
        <f t="shared" si="2"/>
        <v>202.39186426166552</v>
      </c>
      <c r="T19" s="56">
        <f t="shared" si="2"/>
        <v>208.4636201895155</v>
      </c>
    </row>
    <row r="20" spans="1:23" customFormat="1" ht="12.5" x14ac:dyDescent="0.25">
      <c r="E20" s="70"/>
      <c r="W20" s="70"/>
    </row>
    <row r="21" spans="1:23" customFormat="1" ht="12.5" x14ac:dyDescent="0.25">
      <c r="E21" s="70"/>
      <c r="H21" s="43" t="s">
        <v>44</v>
      </c>
      <c r="I21" s="43"/>
      <c r="K21" s="42">
        <v>1300</v>
      </c>
      <c r="L21" s="42">
        <v>1400</v>
      </c>
      <c r="M21" s="42">
        <v>1500</v>
      </c>
      <c r="N21" s="42">
        <f>+M21*(1+SUM($H$27))</f>
        <v>1545</v>
      </c>
      <c r="O21" s="42">
        <f t="shared" ref="O21:T21" si="3">+N21*(1+SUM($H$27))</f>
        <v>1591.3500000000001</v>
      </c>
      <c r="P21" s="42">
        <f t="shared" si="3"/>
        <v>1639.0905000000002</v>
      </c>
      <c r="Q21" s="42">
        <f t="shared" si="3"/>
        <v>1688.2632150000004</v>
      </c>
      <c r="R21" s="42">
        <f t="shared" si="3"/>
        <v>1738.9111114500004</v>
      </c>
      <c r="S21" s="42">
        <f t="shared" si="3"/>
        <v>1791.0784447935005</v>
      </c>
      <c r="T21" s="42">
        <f t="shared" si="3"/>
        <v>1844.8107981373055</v>
      </c>
      <c r="W21" s="70"/>
    </row>
    <row r="22" spans="1:23" customFormat="1" ht="12.5" x14ac:dyDescent="0.25">
      <c r="E22" s="70"/>
      <c r="H22" s="43" t="s">
        <v>45</v>
      </c>
      <c r="I22" s="43"/>
      <c r="K22" s="44">
        <f t="shared" ref="K22:T22" si="4">+K57/K47</f>
        <v>0.38528282608481174</v>
      </c>
      <c r="L22" s="44">
        <f t="shared" si="4"/>
        <v>0.37639314071510371</v>
      </c>
      <c r="M22" s="44">
        <f t="shared" si="4"/>
        <v>0.37419011781813194</v>
      </c>
      <c r="N22" s="44">
        <f t="shared" si="4"/>
        <v>0.36801914963080723</v>
      </c>
      <c r="O22" s="44">
        <f t="shared" si="4"/>
        <v>0.36100926106641101</v>
      </c>
      <c r="P22" s="44">
        <f t="shared" si="4"/>
        <v>0.35413289418895544</v>
      </c>
      <c r="Q22" s="44">
        <f t="shared" si="4"/>
        <v>0.34648466366935204</v>
      </c>
      <c r="R22" s="44">
        <f t="shared" si="4"/>
        <v>0.3407706008571999</v>
      </c>
      <c r="S22" s="44">
        <f t="shared" si="4"/>
        <v>0.33427973226944363</v>
      </c>
      <c r="T22" s="44">
        <f t="shared" si="4"/>
        <v>0.3279124992738352</v>
      </c>
      <c r="W22" s="70"/>
    </row>
    <row r="23" spans="1:23" customFormat="1" ht="12.5" x14ac:dyDescent="0.25">
      <c r="E23" s="70"/>
      <c r="H23" s="43"/>
      <c r="I23" s="43"/>
      <c r="K23" s="44"/>
      <c r="L23" s="44"/>
      <c r="M23" s="44"/>
      <c r="N23" s="44"/>
      <c r="O23" s="44"/>
      <c r="P23" s="44"/>
      <c r="Q23" s="44"/>
      <c r="R23" s="44"/>
      <c r="S23" s="44"/>
      <c r="T23" s="44"/>
      <c r="W23" s="70"/>
    </row>
    <row r="24" spans="1:23" customFormat="1" ht="12.5" x14ac:dyDescent="0.25">
      <c r="E24" s="70"/>
      <c r="H24" s="43" t="s">
        <v>40</v>
      </c>
      <c r="I24" s="43"/>
      <c r="K24" s="60">
        <v>0.37</v>
      </c>
      <c r="L24" s="60">
        <v>0.38</v>
      </c>
      <c r="M24" s="60">
        <v>0.4</v>
      </c>
      <c r="N24" s="60">
        <v>0.41</v>
      </c>
      <c r="O24" s="60">
        <v>0.41</v>
      </c>
      <c r="P24" s="60">
        <v>0.36499999999999999</v>
      </c>
      <c r="Q24" s="60">
        <v>0.36499999999999999</v>
      </c>
      <c r="R24" s="60">
        <v>0.36499999999999999</v>
      </c>
      <c r="S24" s="60">
        <v>0.36499999999999999</v>
      </c>
      <c r="T24" s="60">
        <v>0.36499999999999999</v>
      </c>
      <c r="W24" s="70"/>
    </row>
    <row r="25" spans="1:23" customFormat="1" ht="12.5" x14ac:dyDescent="0.25">
      <c r="E25" s="70"/>
      <c r="H25" s="43"/>
      <c r="I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W25" s="70"/>
    </row>
    <row r="26" spans="1:23" customFormat="1" ht="12.5" x14ac:dyDescent="0.25">
      <c r="E26" s="70"/>
      <c r="L26" s="41"/>
      <c r="W26" s="70"/>
    </row>
    <row r="27" spans="1:23" customFormat="1" ht="12.5" x14ac:dyDescent="0.25">
      <c r="E27" s="70"/>
      <c r="F27" s="38" t="s">
        <v>42</v>
      </c>
      <c r="H27" s="39">
        <v>0.03</v>
      </c>
      <c r="I27" s="128"/>
      <c r="K27" s="44"/>
      <c r="W27" s="70"/>
    </row>
    <row r="28" spans="1:23" customFormat="1" ht="12.5" x14ac:dyDescent="0.25">
      <c r="E28" s="70"/>
      <c r="F28" s="38" t="s">
        <v>43</v>
      </c>
      <c r="H28" s="39">
        <v>0.02</v>
      </c>
      <c r="I28" s="128"/>
      <c r="W28" s="70"/>
    </row>
    <row r="29" spans="1:23" customFormat="1" ht="12.5" x14ac:dyDescent="0.25">
      <c r="E29" s="70"/>
      <c r="W29" s="70"/>
    </row>
    <row r="30" spans="1:23" s="45" customFormat="1" x14ac:dyDescent="0.4">
      <c r="A30" s="37"/>
      <c r="B30" s="37"/>
      <c r="C30" s="37"/>
      <c r="D30" s="37"/>
      <c r="E30" s="71"/>
      <c r="W30" s="71"/>
    </row>
    <row r="32" spans="1:23" ht="21.5" x14ac:dyDescent="0.6">
      <c r="F32" s="47"/>
      <c r="H32" s="48"/>
      <c r="I32" s="48"/>
      <c r="K32" s="130">
        <v>2026</v>
      </c>
      <c r="L32" s="130">
        <v>2027</v>
      </c>
      <c r="M32" s="130">
        <v>2028</v>
      </c>
      <c r="N32" s="130">
        <v>2029</v>
      </c>
      <c r="O32" s="130">
        <v>2030</v>
      </c>
      <c r="P32" s="130">
        <v>2031</v>
      </c>
      <c r="Q32" s="130">
        <v>2032</v>
      </c>
      <c r="R32" s="130">
        <v>2033</v>
      </c>
      <c r="S32" s="130">
        <v>2034</v>
      </c>
      <c r="T32" s="130">
        <v>2035</v>
      </c>
    </row>
    <row r="34" spans="1:29" s="91" customFormat="1" ht="18.5" x14ac:dyDescent="0.5">
      <c r="A34" s="88"/>
      <c r="B34" s="88"/>
      <c r="C34" s="128"/>
      <c r="D34" s="89"/>
      <c r="E34" s="90"/>
      <c r="F34" s="59" t="s">
        <v>50</v>
      </c>
      <c r="H34" s="92"/>
      <c r="I34" s="92"/>
      <c r="K34" s="104">
        <v>0.76</v>
      </c>
      <c r="L34" s="104">
        <v>0.8</v>
      </c>
      <c r="M34" s="104">
        <v>0.82</v>
      </c>
      <c r="N34" s="104">
        <v>0.82</v>
      </c>
      <c r="O34" s="104">
        <v>0.82</v>
      </c>
      <c r="P34" s="104">
        <v>0.82</v>
      </c>
      <c r="Q34" s="104">
        <v>0.82</v>
      </c>
      <c r="R34" s="104">
        <v>0.82</v>
      </c>
      <c r="S34" s="104">
        <v>0.82</v>
      </c>
      <c r="T34" s="104">
        <v>0.82</v>
      </c>
      <c r="W34" s="99">
        <f>+AVERAGE(K34:T34)</f>
        <v>0.81200000000000006</v>
      </c>
    </row>
    <row r="35" spans="1:29" ht="18" customHeight="1" x14ac:dyDescent="0.45">
      <c r="F35" s="58" t="s">
        <v>34</v>
      </c>
      <c r="H35" s="49"/>
      <c r="I35" s="49"/>
      <c r="K35" s="105">
        <v>365</v>
      </c>
      <c r="L35" s="105">
        <v>365</v>
      </c>
      <c r="M35" s="105">
        <v>366</v>
      </c>
      <c r="N35" s="105">
        <v>365</v>
      </c>
      <c r="O35" s="105">
        <v>365</v>
      </c>
      <c r="P35" s="105">
        <v>365</v>
      </c>
      <c r="Q35" s="105">
        <v>366</v>
      </c>
      <c r="R35" s="105">
        <v>365</v>
      </c>
      <c r="S35" s="105">
        <v>365</v>
      </c>
      <c r="T35" s="105">
        <v>365</v>
      </c>
    </row>
    <row r="36" spans="1:29" ht="18" customHeight="1" x14ac:dyDescent="0.6">
      <c r="F36" s="58" t="s">
        <v>35</v>
      </c>
      <c r="H36" s="49"/>
      <c r="I36" s="49"/>
      <c r="K36" s="105">
        <v>56</v>
      </c>
      <c r="L36" s="105">
        <v>56</v>
      </c>
      <c r="M36" s="105">
        <v>56</v>
      </c>
      <c r="N36" s="105">
        <v>56</v>
      </c>
      <c r="O36" s="105">
        <v>56</v>
      </c>
      <c r="P36" s="105">
        <v>56</v>
      </c>
      <c r="Q36" s="105">
        <v>56</v>
      </c>
      <c r="R36" s="105">
        <v>56</v>
      </c>
      <c r="S36" s="105">
        <v>56</v>
      </c>
      <c r="T36" s="105">
        <v>56</v>
      </c>
      <c r="AC36" s="50"/>
    </row>
    <row r="37" spans="1:29" s="91" customFormat="1" ht="18.5" x14ac:dyDescent="0.5">
      <c r="A37" s="88"/>
      <c r="B37" s="88" t="s">
        <v>49</v>
      </c>
      <c r="C37" s="40">
        <v>119.43725580285421</v>
      </c>
      <c r="D37" s="93"/>
      <c r="E37" s="90"/>
      <c r="F37" s="59" t="s">
        <v>36</v>
      </c>
      <c r="H37" s="94"/>
      <c r="I37" s="94"/>
      <c r="K37" s="106">
        <f>+($H$38*K38+$H$39*K39+$H$40*K40+$H$41*K41+$H$42*K42+$H$43*K43+$H$44*K44+$H$45*K45)/SUM($H$38:$H$45)</f>
        <v>138.28826530612244</v>
      </c>
      <c r="L37" s="106">
        <f t="shared" ref="L37:T37" si="5">+($H$38*L38+$H$39*L39+$H$40*L40+$H$41*L41+$H$42*L42+$H$43*L43+$H$44*L44+$H$45*L45)/SUM($H$38:$H$45)</f>
        <v>145.20267857142858</v>
      </c>
      <c r="M37" s="106">
        <f t="shared" si="5"/>
        <v>152.46281249999998</v>
      </c>
      <c r="N37" s="106">
        <f t="shared" si="5"/>
        <v>160.085953125</v>
      </c>
      <c r="O37" s="106">
        <f t="shared" si="5"/>
        <v>168.09025078125001</v>
      </c>
      <c r="P37" s="106">
        <f t="shared" si="5"/>
        <v>176.49476332031253</v>
      </c>
      <c r="Q37" s="106">
        <f t="shared" si="5"/>
        <v>185.31950148632819</v>
      </c>
      <c r="R37" s="106">
        <f t="shared" si="5"/>
        <v>194.58547656064457</v>
      </c>
      <c r="S37" s="106">
        <f t="shared" si="5"/>
        <v>204.31475038867688</v>
      </c>
      <c r="T37" s="106">
        <f t="shared" si="5"/>
        <v>214.5304879081107</v>
      </c>
      <c r="W37" s="98">
        <f>+AVERAGE(K37:T37)</f>
        <v>173.93749399478739</v>
      </c>
    </row>
    <row r="38" spans="1:29" ht="18" hidden="1" customHeight="1" x14ac:dyDescent="0.4">
      <c r="F38" s="58" t="s">
        <v>19</v>
      </c>
      <c r="H38" s="61">
        <v>22</v>
      </c>
      <c r="I38" s="66"/>
      <c r="K38" s="107">
        <v>115</v>
      </c>
      <c r="L38" s="107">
        <f>+K38*(1+SUM($H$27:$H$28))</f>
        <v>120.75</v>
      </c>
      <c r="M38" s="107">
        <f t="shared" ref="M38:T38" si="6">+L38*(1+SUM($H$27:$H$28))</f>
        <v>126.78750000000001</v>
      </c>
      <c r="N38" s="107">
        <f t="shared" si="6"/>
        <v>133.12687500000001</v>
      </c>
      <c r="O38" s="107">
        <f t="shared" si="6"/>
        <v>139.78321875000003</v>
      </c>
      <c r="P38" s="107">
        <f t="shared" si="6"/>
        <v>146.77237968750003</v>
      </c>
      <c r="Q38" s="107">
        <f t="shared" si="6"/>
        <v>154.11099867187505</v>
      </c>
      <c r="R38" s="107">
        <f t="shared" si="6"/>
        <v>161.81654860546882</v>
      </c>
      <c r="S38" s="107">
        <f t="shared" si="6"/>
        <v>169.90737603574226</v>
      </c>
      <c r="T38" s="107">
        <f t="shared" si="6"/>
        <v>178.40274483752938</v>
      </c>
    </row>
    <row r="39" spans="1:29" ht="18" hidden="1" customHeight="1" x14ac:dyDescent="0.4">
      <c r="F39" s="58" t="s">
        <v>20</v>
      </c>
      <c r="H39" s="61">
        <v>13</v>
      </c>
      <c r="I39" s="66"/>
      <c r="K39" s="107">
        <v>135</v>
      </c>
      <c r="L39" s="107">
        <f t="shared" ref="L39:T39" si="7">+K39*(1+SUM($H$27:$H$28))</f>
        <v>141.75</v>
      </c>
      <c r="M39" s="107">
        <f t="shared" si="7"/>
        <v>148.83750000000001</v>
      </c>
      <c r="N39" s="107">
        <f t="shared" si="7"/>
        <v>156.27937500000002</v>
      </c>
      <c r="O39" s="107">
        <f t="shared" si="7"/>
        <v>164.09334375000003</v>
      </c>
      <c r="P39" s="107">
        <f t="shared" si="7"/>
        <v>172.29801093750004</v>
      </c>
      <c r="Q39" s="107">
        <f t="shared" si="7"/>
        <v>180.91291148437506</v>
      </c>
      <c r="R39" s="107">
        <f t="shared" si="7"/>
        <v>189.95855705859381</v>
      </c>
      <c r="S39" s="107">
        <f t="shared" si="7"/>
        <v>199.45648491152352</v>
      </c>
      <c r="T39" s="107">
        <f t="shared" si="7"/>
        <v>209.42930915709971</v>
      </c>
    </row>
    <row r="40" spans="1:29" ht="18" hidden="1" customHeight="1" x14ac:dyDescent="0.4">
      <c r="F40" s="58" t="s">
        <v>21</v>
      </c>
      <c r="H40" s="61">
        <v>2</v>
      </c>
      <c r="I40" s="66"/>
      <c r="K40" s="107">
        <v>135</v>
      </c>
      <c r="L40" s="107">
        <f t="shared" ref="L40:T40" si="8">+K40*(1+SUM($H$27:$H$28))</f>
        <v>141.75</v>
      </c>
      <c r="M40" s="107">
        <f t="shared" si="8"/>
        <v>148.83750000000001</v>
      </c>
      <c r="N40" s="107">
        <f t="shared" si="8"/>
        <v>156.27937500000002</v>
      </c>
      <c r="O40" s="107">
        <f t="shared" si="8"/>
        <v>164.09334375000003</v>
      </c>
      <c r="P40" s="107">
        <f t="shared" si="8"/>
        <v>172.29801093750004</v>
      </c>
      <c r="Q40" s="107">
        <f t="shared" si="8"/>
        <v>180.91291148437506</v>
      </c>
      <c r="R40" s="107">
        <f t="shared" si="8"/>
        <v>189.95855705859381</v>
      </c>
      <c r="S40" s="107">
        <f t="shared" si="8"/>
        <v>199.45648491152352</v>
      </c>
      <c r="T40" s="107">
        <f t="shared" si="8"/>
        <v>209.42930915709971</v>
      </c>
    </row>
    <row r="41" spans="1:29" ht="18" hidden="1" customHeight="1" x14ac:dyDescent="0.4">
      <c r="F41" s="58" t="s">
        <v>22</v>
      </c>
      <c r="H41" s="61">
        <v>4</v>
      </c>
      <c r="I41" s="66"/>
      <c r="K41" s="107">
        <v>146.03571428571428</v>
      </c>
      <c r="L41" s="107">
        <f t="shared" ref="L41:T41" si="9">+K41*(1+SUM($H$27:$H$28))</f>
        <v>153.33750000000001</v>
      </c>
      <c r="M41" s="107">
        <f t="shared" si="9"/>
        <v>161.00437500000001</v>
      </c>
      <c r="N41" s="107">
        <f t="shared" si="9"/>
        <v>169.05459375000001</v>
      </c>
      <c r="O41" s="107">
        <f t="shared" si="9"/>
        <v>177.50732343750002</v>
      </c>
      <c r="P41" s="107">
        <f t="shared" si="9"/>
        <v>186.38268960937503</v>
      </c>
      <c r="Q41" s="107">
        <f t="shared" si="9"/>
        <v>195.7018240898438</v>
      </c>
      <c r="R41" s="107">
        <f t="shared" si="9"/>
        <v>205.486915294336</v>
      </c>
      <c r="S41" s="107">
        <f t="shared" si="9"/>
        <v>215.7612610590528</v>
      </c>
      <c r="T41" s="107">
        <f t="shared" si="9"/>
        <v>226.54932411200545</v>
      </c>
    </row>
    <row r="42" spans="1:29" ht="18" hidden="1" customHeight="1" x14ac:dyDescent="0.4">
      <c r="F42" s="58" t="s">
        <v>23</v>
      </c>
      <c r="H42" s="61">
        <v>4</v>
      </c>
      <c r="I42" s="66"/>
      <c r="K42" s="107">
        <v>140</v>
      </c>
      <c r="L42" s="107">
        <f t="shared" ref="L42:T42" si="10">+K42*(1+SUM($H$27:$H$28))</f>
        <v>147</v>
      </c>
      <c r="M42" s="107">
        <f t="shared" si="10"/>
        <v>154.35</v>
      </c>
      <c r="N42" s="107">
        <f t="shared" si="10"/>
        <v>162.0675</v>
      </c>
      <c r="O42" s="107">
        <f t="shared" si="10"/>
        <v>170.170875</v>
      </c>
      <c r="P42" s="107">
        <f t="shared" si="10"/>
        <v>178.67941875</v>
      </c>
      <c r="Q42" s="107">
        <f t="shared" si="10"/>
        <v>187.61338968750002</v>
      </c>
      <c r="R42" s="107">
        <f t="shared" si="10"/>
        <v>196.99405917187502</v>
      </c>
      <c r="S42" s="107">
        <f t="shared" si="10"/>
        <v>206.84376213046878</v>
      </c>
      <c r="T42" s="107">
        <f t="shared" si="10"/>
        <v>217.18595023699223</v>
      </c>
    </row>
    <row r="43" spans="1:29" ht="18" hidden="1" customHeight="1" x14ac:dyDescent="0.4">
      <c r="F43" s="58" t="s">
        <v>24</v>
      </c>
      <c r="H43" s="61">
        <v>5</v>
      </c>
      <c r="I43" s="66"/>
      <c r="K43" s="107">
        <v>165</v>
      </c>
      <c r="L43" s="107">
        <f t="shared" ref="L43:T43" si="11">+K43*(1+SUM($H$27:$H$28))</f>
        <v>173.25</v>
      </c>
      <c r="M43" s="107">
        <f t="shared" si="11"/>
        <v>181.91249999999999</v>
      </c>
      <c r="N43" s="107">
        <f t="shared" si="11"/>
        <v>191.00812500000001</v>
      </c>
      <c r="O43" s="107">
        <f t="shared" si="11"/>
        <v>200.55853125000002</v>
      </c>
      <c r="P43" s="107">
        <f t="shared" si="11"/>
        <v>210.58645781250002</v>
      </c>
      <c r="Q43" s="107">
        <f t="shared" si="11"/>
        <v>221.11578070312501</v>
      </c>
      <c r="R43" s="107">
        <f t="shared" si="11"/>
        <v>232.17156973828128</v>
      </c>
      <c r="S43" s="107">
        <f t="shared" si="11"/>
        <v>243.78014822519535</v>
      </c>
      <c r="T43" s="107">
        <f t="shared" si="11"/>
        <v>255.96915563645513</v>
      </c>
    </row>
    <row r="44" spans="1:29" ht="18" hidden="1" customHeight="1" x14ac:dyDescent="0.4">
      <c r="F44" s="58" t="s">
        <v>25</v>
      </c>
      <c r="H44" s="61">
        <v>4</v>
      </c>
      <c r="I44" s="66"/>
      <c r="K44" s="107">
        <v>190</v>
      </c>
      <c r="L44" s="107">
        <f t="shared" ref="L44:T44" si="12">+K44*(1+SUM($H$27:$H$28))</f>
        <v>199.5</v>
      </c>
      <c r="M44" s="107">
        <f t="shared" si="12"/>
        <v>209.47500000000002</v>
      </c>
      <c r="N44" s="107">
        <f t="shared" si="12"/>
        <v>219.94875000000005</v>
      </c>
      <c r="O44" s="107">
        <f t="shared" si="12"/>
        <v>230.94618750000006</v>
      </c>
      <c r="P44" s="107">
        <f t="shared" si="12"/>
        <v>242.49349687500009</v>
      </c>
      <c r="Q44" s="107">
        <f t="shared" si="12"/>
        <v>254.61817171875012</v>
      </c>
      <c r="R44" s="107">
        <f t="shared" si="12"/>
        <v>267.34908030468762</v>
      </c>
      <c r="S44" s="107">
        <f t="shared" si="12"/>
        <v>280.716534319922</v>
      </c>
      <c r="T44" s="107">
        <f t="shared" si="12"/>
        <v>294.75236103591811</v>
      </c>
    </row>
    <row r="45" spans="1:29" ht="18" hidden="1" customHeight="1" x14ac:dyDescent="0.4">
      <c r="F45" s="58" t="s">
        <v>26</v>
      </c>
      <c r="H45" s="61">
        <v>2</v>
      </c>
      <c r="I45" s="66"/>
      <c r="K45" s="107">
        <v>230</v>
      </c>
      <c r="L45" s="107">
        <f t="shared" ref="L45:T45" si="13">+K45*(1+SUM($H$27:$H$28))</f>
        <v>241.5</v>
      </c>
      <c r="M45" s="107">
        <f t="shared" si="13"/>
        <v>253.57500000000002</v>
      </c>
      <c r="N45" s="107">
        <f t="shared" si="13"/>
        <v>266.25375000000003</v>
      </c>
      <c r="O45" s="107">
        <f t="shared" si="13"/>
        <v>279.56643750000006</v>
      </c>
      <c r="P45" s="107">
        <f t="shared" si="13"/>
        <v>293.54475937500007</v>
      </c>
      <c r="Q45" s="107">
        <f t="shared" si="13"/>
        <v>308.2219973437501</v>
      </c>
      <c r="R45" s="107">
        <f t="shared" si="13"/>
        <v>323.63309721093765</v>
      </c>
      <c r="S45" s="107">
        <f t="shared" si="13"/>
        <v>339.81475207148452</v>
      </c>
      <c r="T45" s="107">
        <f t="shared" si="13"/>
        <v>356.80548967505877</v>
      </c>
    </row>
    <row r="46" spans="1:29" ht="16.5" x14ac:dyDescent="0.45">
      <c r="H46" s="51"/>
      <c r="I46" s="51"/>
      <c r="K46" s="108"/>
      <c r="L46" s="108"/>
      <c r="M46" s="108"/>
      <c r="N46" s="108"/>
      <c r="O46" s="108"/>
      <c r="P46" s="108"/>
      <c r="Q46" s="108"/>
      <c r="R46" s="108"/>
      <c r="S46" s="108"/>
      <c r="T46" s="108"/>
    </row>
    <row r="47" spans="1:29" s="91" customFormat="1" ht="18.5" x14ac:dyDescent="0.5">
      <c r="A47" s="88"/>
      <c r="B47" s="88"/>
      <c r="C47" s="88"/>
      <c r="D47" s="88"/>
      <c r="E47" s="90"/>
      <c r="F47" s="59" t="s">
        <v>37</v>
      </c>
      <c r="K47" s="106">
        <f t="shared" ref="K47:T47" si="14">+SUM(K48:K51)</f>
        <v>2267425.228571428</v>
      </c>
      <c r="L47" s="106">
        <f t="shared" si="14"/>
        <v>2499514.2000000002</v>
      </c>
      <c r="M47" s="106">
        <f t="shared" si="14"/>
        <v>2693817.8001000001</v>
      </c>
      <c r="N47" s="106">
        <f t="shared" si="14"/>
        <v>2821157.5431374996</v>
      </c>
      <c r="O47" s="106">
        <f t="shared" si="14"/>
        <v>2962215.4202943742</v>
      </c>
      <c r="P47" s="106">
        <f t="shared" si="14"/>
        <v>3110326.191309094</v>
      </c>
      <c r="Q47" s="106">
        <f t="shared" si="14"/>
        <v>3274352.3723828024</v>
      </c>
      <c r="R47" s="106">
        <f t="shared" si="14"/>
        <v>3429134.6259182752</v>
      </c>
      <c r="S47" s="106">
        <f t="shared" si="14"/>
        <v>3600591.357214191</v>
      </c>
      <c r="T47" s="106">
        <f t="shared" si="14"/>
        <v>3780620.9250749005</v>
      </c>
      <c r="W47" s="98">
        <f>+SUM(K47:T47)</f>
        <v>30439155.664002568</v>
      </c>
    </row>
    <row r="48" spans="1:29" ht="18" customHeight="1" x14ac:dyDescent="0.4">
      <c r="F48" s="58" t="s">
        <v>99</v>
      </c>
      <c r="H48" s="61"/>
      <c r="I48" s="66"/>
      <c r="K48" s="109">
        <f>+K34*K35*K36*K37</f>
        <v>2148225.228571428</v>
      </c>
      <c r="L48" s="109">
        <f t="shared" ref="L48:T48" si="15">+L34*L35*L36*L37</f>
        <v>2374354.2000000002</v>
      </c>
      <c r="M48" s="109">
        <f t="shared" si="15"/>
        <v>2562399.8001000001</v>
      </c>
      <c r="N48" s="109">
        <f t="shared" si="15"/>
        <v>2683168.6431374992</v>
      </c>
      <c r="O48" s="109">
        <f t="shared" si="15"/>
        <v>2817327.0752943745</v>
      </c>
      <c r="P48" s="109">
        <f t="shared" si="15"/>
        <v>2958193.4290590934</v>
      </c>
      <c r="Q48" s="109">
        <f t="shared" si="15"/>
        <v>3114612.972020302</v>
      </c>
      <c r="R48" s="109">
        <f t="shared" si="15"/>
        <v>3261408.2555376505</v>
      </c>
      <c r="S48" s="109">
        <f t="shared" si="15"/>
        <v>3424478.6683145347</v>
      </c>
      <c r="T48" s="109">
        <f t="shared" si="15"/>
        <v>3595702.601730261</v>
      </c>
    </row>
    <row r="49" spans="1:24" ht="18" customHeight="1" x14ac:dyDescent="0.4">
      <c r="F49" s="58" t="s">
        <v>101</v>
      </c>
      <c r="H49" s="61">
        <v>9333.3333333333339</v>
      </c>
      <c r="I49" s="66"/>
      <c r="K49" s="109">
        <f>+H49*12</f>
        <v>112000</v>
      </c>
      <c r="L49" s="109">
        <f t="shared" ref="L49:T49" si="16">+K49*(1+SUM($H$27:$H$28))</f>
        <v>117600</v>
      </c>
      <c r="M49" s="109">
        <f t="shared" si="16"/>
        <v>123480</v>
      </c>
      <c r="N49" s="109">
        <f t="shared" si="16"/>
        <v>129654</v>
      </c>
      <c r="O49" s="109">
        <f t="shared" si="16"/>
        <v>136136.70000000001</v>
      </c>
      <c r="P49" s="109">
        <f t="shared" si="16"/>
        <v>142943.53500000003</v>
      </c>
      <c r="Q49" s="109">
        <f t="shared" si="16"/>
        <v>150090.71175000005</v>
      </c>
      <c r="R49" s="109">
        <f t="shared" si="16"/>
        <v>157595.24733750004</v>
      </c>
      <c r="S49" s="109">
        <f t="shared" si="16"/>
        <v>165475.00970437506</v>
      </c>
      <c r="T49" s="109">
        <f t="shared" si="16"/>
        <v>173748.76018959383</v>
      </c>
    </row>
    <row r="50" spans="1:24" ht="18" customHeight="1" x14ac:dyDescent="0.4">
      <c r="F50" s="58" t="s">
        <v>102</v>
      </c>
      <c r="H50" s="61">
        <v>300</v>
      </c>
      <c r="I50" s="66"/>
      <c r="K50" s="109">
        <f>+H50*12</f>
        <v>3600</v>
      </c>
      <c r="L50" s="109">
        <f t="shared" ref="L50:T50" si="17">+K50*(1+SUM($H$27:$H$28))</f>
        <v>3780</v>
      </c>
      <c r="M50" s="109">
        <f t="shared" si="17"/>
        <v>3969</v>
      </c>
      <c r="N50" s="109">
        <f t="shared" si="17"/>
        <v>4167.45</v>
      </c>
      <c r="O50" s="109">
        <f t="shared" si="17"/>
        <v>4375.8225000000002</v>
      </c>
      <c r="P50" s="109">
        <f t="shared" si="17"/>
        <v>4594.6136250000009</v>
      </c>
      <c r="Q50" s="109">
        <f t="shared" si="17"/>
        <v>4824.344306250001</v>
      </c>
      <c r="R50" s="109">
        <f t="shared" si="17"/>
        <v>5065.5615215625012</v>
      </c>
      <c r="S50" s="109">
        <f t="shared" si="17"/>
        <v>5318.8395976406264</v>
      </c>
      <c r="T50" s="109">
        <f t="shared" si="17"/>
        <v>5584.7815775226582</v>
      </c>
    </row>
    <row r="51" spans="1:24" ht="18" customHeight="1" x14ac:dyDescent="0.4">
      <c r="F51" s="58" t="s">
        <v>121</v>
      </c>
      <c r="H51" s="61">
        <v>300</v>
      </c>
      <c r="I51" s="66"/>
      <c r="K51" s="109">
        <f>+H51*12</f>
        <v>3600</v>
      </c>
      <c r="L51" s="109">
        <f t="shared" ref="L51:T51" si="18">+K51*(1+SUM($H$27:$H$28))</f>
        <v>3780</v>
      </c>
      <c r="M51" s="109">
        <f t="shared" si="18"/>
        <v>3969</v>
      </c>
      <c r="N51" s="109">
        <f t="shared" si="18"/>
        <v>4167.45</v>
      </c>
      <c r="O51" s="109">
        <f t="shared" si="18"/>
        <v>4375.8225000000002</v>
      </c>
      <c r="P51" s="109">
        <f t="shared" si="18"/>
        <v>4594.6136250000009</v>
      </c>
      <c r="Q51" s="109">
        <f t="shared" si="18"/>
        <v>4824.344306250001</v>
      </c>
      <c r="R51" s="109">
        <f t="shared" si="18"/>
        <v>5065.5615215625012</v>
      </c>
      <c r="S51" s="109">
        <f t="shared" si="18"/>
        <v>5318.8395976406264</v>
      </c>
      <c r="T51" s="109">
        <f t="shared" si="18"/>
        <v>5584.7815775226582</v>
      </c>
    </row>
    <row r="52" spans="1:24" x14ac:dyDescent="0.4">
      <c r="H52" s="101"/>
      <c r="K52" s="108"/>
      <c r="L52" s="108"/>
      <c r="M52" s="108"/>
      <c r="N52" s="108"/>
      <c r="O52" s="108"/>
      <c r="P52" s="108"/>
      <c r="Q52" s="108"/>
      <c r="R52" s="108"/>
      <c r="S52" s="108"/>
      <c r="T52" s="108"/>
    </row>
    <row r="53" spans="1:24" x14ac:dyDescent="0.4">
      <c r="F53" s="100" t="s">
        <v>114</v>
      </c>
      <c r="G53" s="103"/>
      <c r="H53" s="102">
        <f>+K16/(K57/12)</f>
        <v>4.9931318681318677</v>
      </c>
      <c r="I53" s="91"/>
      <c r="J53" s="91"/>
      <c r="K53" s="110">
        <f>-(K21*56)*H53</f>
        <v>-363499.99999999994</v>
      </c>
      <c r="L53" s="110"/>
      <c r="M53" s="110"/>
      <c r="N53" s="110"/>
      <c r="O53" s="110"/>
      <c r="P53" s="110"/>
      <c r="Q53" s="110"/>
      <c r="R53" s="110"/>
      <c r="S53" s="110"/>
      <c r="T53" s="110"/>
    </row>
    <row r="54" spans="1:24" x14ac:dyDescent="0.4">
      <c r="K54" s="108"/>
      <c r="L54" s="108"/>
      <c r="M54" s="108"/>
      <c r="N54" s="108"/>
      <c r="O54" s="108"/>
      <c r="P54" s="108"/>
      <c r="Q54" s="108"/>
      <c r="R54" s="108"/>
      <c r="S54" s="108"/>
      <c r="T54" s="108"/>
    </row>
    <row r="55" spans="1:24" s="91" customFormat="1" ht="18.5" x14ac:dyDescent="0.5">
      <c r="A55" s="88"/>
      <c r="B55" s="88"/>
      <c r="C55" s="88"/>
      <c r="D55" s="88"/>
      <c r="E55" s="90"/>
      <c r="F55" s="59" t="s">
        <v>39</v>
      </c>
      <c r="K55" s="106">
        <f>+IF(K53&lt;0,MIN(K56:K58),MAX(K56:K58))</f>
        <v>510100.00000000006</v>
      </c>
      <c r="L55" s="106">
        <f t="shared" ref="L55:T55" si="19">+IF(L53&lt;0,MIN(L56:L58),MAX(L56:L58))</f>
        <v>949815.39600000007</v>
      </c>
      <c r="M55" s="106">
        <f t="shared" si="19"/>
        <v>1077527.1200400002</v>
      </c>
      <c r="N55" s="106">
        <f t="shared" si="19"/>
        <v>1156674.5926863747</v>
      </c>
      <c r="O55" s="106">
        <f t="shared" si="19"/>
        <v>1214508.3223206934</v>
      </c>
      <c r="P55" s="106">
        <f t="shared" si="19"/>
        <v>1135269.0598278192</v>
      </c>
      <c r="Q55" s="106">
        <f t="shared" si="19"/>
        <v>1195138.6159197229</v>
      </c>
      <c r="R55" s="106">
        <f t="shared" si="19"/>
        <v>1251634.1384601705</v>
      </c>
      <c r="S55" s="106">
        <f t="shared" si="19"/>
        <v>1314215.8453831796</v>
      </c>
      <c r="T55" s="106">
        <f t="shared" si="19"/>
        <v>1379926.6376523387</v>
      </c>
      <c r="W55" s="98">
        <f>+SUM(K55:T55)</f>
        <v>11184809.728290301</v>
      </c>
    </row>
    <row r="56" spans="1:24" ht="18" customHeight="1" x14ac:dyDescent="0.4">
      <c r="F56" s="58" t="s">
        <v>46</v>
      </c>
      <c r="K56" s="108">
        <f>+K57+K53</f>
        <v>510100.00000000006</v>
      </c>
      <c r="L56" s="108">
        <f t="shared" ref="L56:T56" si="20">+L57+L53</f>
        <v>940800</v>
      </c>
      <c r="M56" s="108">
        <f t="shared" si="20"/>
        <v>1008000</v>
      </c>
      <c r="N56" s="108">
        <f t="shared" si="20"/>
        <v>1038240</v>
      </c>
      <c r="O56" s="108">
        <f t="shared" si="20"/>
        <v>1069387.2000000002</v>
      </c>
      <c r="P56" s="108">
        <f t="shared" si="20"/>
        <v>1101468.8160000001</v>
      </c>
      <c r="Q56" s="108">
        <f t="shared" si="20"/>
        <v>1134512.8804800003</v>
      </c>
      <c r="R56" s="108">
        <f t="shared" si="20"/>
        <v>1168548.2668944001</v>
      </c>
      <c r="S56" s="108">
        <f t="shared" si="20"/>
        <v>1203604.7149012324</v>
      </c>
      <c r="T56" s="108">
        <f t="shared" si="20"/>
        <v>1239712.8563482694</v>
      </c>
    </row>
    <row r="57" spans="1:24" ht="18" hidden="1" customHeight="1" x14ac:dyDescent="0.4">
      <c r="F57" s="58" t="s">
        <v>46</v>
      </c>
      <c r="K57" s="108">
        <f t="shared" ref="K57:T57" si="21">+K21*K36*12</f>
        <v>873600</v>
      </c>
      <c r="L57" s="108">
        <f t="shared" si="21"/>
        <v>940800</v>
      </c>
      <c r="M57" s="108">
        <f t="shared" si="21"/>
        <v>1008000</v>
      </c>
      <c r="N57" s="108">
        <f t="shared" si="21"/>
        <v>1038240</v>
      </c>
      <c r="O57" s="108">
        <f t="shared" si="21"/>
        <v>1069387.2000000002</v>
      </c>
      <c r="P57" s="108">
        <f t="shared" si="21"/>
        <v>1101468.8160000001</v>
      </c>
      <c r="Q57" s="108">
        <f t="shared" si="21"/>
        <v>1134512.8804800003</v>
      </c>
      <c r="R57" s="108">
        <f t="shared" si="21"/>
        <v>1168548.2668944001</v>
      </c>
      <c r="S57" s="108">
        <f t="shared" si="21"/>
        <v>1203604.7149012324</v>
      </c>
      <c r="T57" s="108">
        <f t="shared" si="21"/>
        <v>1239712.8563482694</v>
      </c>
    </row>
    <row r="58" spans="1:24" ht="18" customHeight="1" x14ac:dyDescent="0.4">
      <c r="F58" s="58" t="s">
        <v>40</v>
      </c>
      <c r="I58" s="63"/>
      <c r="K58" s="108">
        <f t="shared" ref="K58:T58" si="22">+K24*K47</f>
        <v>838947.33457142836</v>
      </c>
      <c r="L58" s="108">
        <f t="shared" si="22"/>
        <v>949815.39600000007</v>
      </c>
      <c r="M58" s="108">
        <f t="shared" si="22"/>
        <v>1077527.1200400002</v>
      </c>
      <c r="N58" s="108">
        <f t="shared" si="22"/>
        <v>1156674.5926863747</v>
      </c>
      <c r="O58" s="108">
        <f t="shared" si="22"/>
        <v>1214508.3223206934</v>
      </c>
      <c r="P58" s="108">
        <f t="shared" si="22"/>
        <v>1135269.0598278192</v>
      </c>
      <c r="Q58" s="108">
        <f t="shared" si="22"/>
        <v>1195138.6159197229</v>
      </c>
      <c r="R58" s="108">
        <f t="shared" si="22"/>
        <v>1251634.1384601705</v>
      </c>
      <c r="S58" s="108">
        <f t="shared" si="22"/>
        <v>1314215.8453831796</v>
      </c>
      <c r="T58" s="108">
        <f t="shared" si="22"/>
        <v>1379926.6376523387</v>
      </c>
    </row>
    <row r="59" spans="1:24" x14ac:dyDescent="0.4">
      <c r="K59" s="111"/>
      <c r="L59" s="111"/>
      <c r="M59" s="111"/>
      <c r="N59" s="111"/>
      <c r="O59" s="111"/>
      <c r="P59" s="111"/>
      <c r="Q59" s="111"/>
      <c r="R59" s="111"/>
      <c r="S59" s="111"/>
      <c r="T59" s="111"/>
    </row>
    <row r="60" spans="1:24" x14ac:dyDescent="0.4">
      <c r="K60" s="52"/>
      <c r="L60" s="52"/>
      <c r="M60" s="52"/>
      <c r="N60" s="52"/>
      <c r="O60" s="52"/>
      <c r="P60" s="52"/>
      <c r="Q60" s="52"/>
      <c r="R60" s="52"/>
      <c r="S60" s="52"/>
      <c r="T60" s="52"/>
    </row>
    <row r="61" spans="1:24" s="53" customFormat="1" x14ac:dyDescent="0.4">
      <c r="A61" s="36"/>
      <c r="B61" s="36"/>
      <c r="C61" s="36"/>
      <c r="D61" s="36"/>
      <c r="E61" s="72"/>
      <c r="K61" s="54"/>
      <c r="L61" s="54"/>
      <c r="M61" s="54"/>
      <c r="N61" s="54"/>
      <c r="O61" s="54"/>
      <c r="P61" s="54"/>
      <c r="Q61" s="54"/>
      <c r="R61" s="54"/>
      <c r="S61" s="54"/>
      <c r="T61" s="54"/>
      <c r="W61" s="72"/>
    </row>
    <row r="62" spans="1:24" s="85" customFormat="1" x14ac:dyDescent="0.4">
      <c r="A62" s="83"/>
      <c r="B62" s="83"/>
      <c r="C62" s="83"/>
      <c r="D62" s="83"/>
      <c r="E62" s="84"/>
      <c r="F62" s="87" t="s">
        <v>110</v>
      </c>
      <c r="H62" s="86">
        <f>+K36*K35*K34</f>
        <v>15534.4</v>
      </c>
      <c r="L62" s="86"/>
      <c r="M62" s="86"/>
      <c r="N62" s="86"/>
      <c r="O62" s="86"/>
      <c r="P62" s="86"/>
      <c r="Q62" s="86"/>
      <c r="R62" s="86"/>
      <c r="S62" s="86"/>
      <c r="T62" s="86"/>
      <c r="W62" s="69"/>
    </row>
    <row r="63" spans="1:24" x14ac:dyDescent="0.4">
      <c r="K63" s="52"/>
      <c r="L63" s="52"/>
      <c r="M63" s="52"/>
      <c r="N63" s="52"/>
      <c r="O63" s="52"/>
      <c r="P63" s="52"/>
      <c r="Q63" s="52"/>
      <c r="R63" s="52"/>
      <c r="S63" s="52"/>
    </row>
    <row r="64" spans="1:24" s="91" customFormat="1" ht="18.5" x14ac:dyDescent="0.5">
      <c r="A64" s="88"/>
      <c r="B64" s="88"/>
      <c r="C64" s="88"/>
      <c r="D64" s="88"/>
      <c r="E64" s="96" t="s">
        <v>111</v>
      </c>
      <c r="F64" s="59" t="s">
        <v>38</v>
      </c>
      <c r="H64" s="115" t="s">
        <v>120</v>
      </c>
      <c r="I64" s="97"/>
      <c r="K64" s="95">
        <f t="shared" ref="K64:T64" si="23">+K65+K66+K70+K74+K79+K90+K94+K95+K97+K98+K101</f>
        <v>1162180.783605065</v>
      </c>
      <c r="L64" s="95">
        <f t="shared" si="23"/>
        <v>1197046.2071132169</v>
      </c>
      <c r="M64" s="95">
        <f t="shared" si="23"/>
        <v>1232957.5933266135</v>
      </c>
      <c r="N64" s="95">
        <f t="shared" si="23"/>
        <v>1269946.3211264119</v>
      </c>
      <c r="O64" s="95">
        <f t="shared" si="23"/>
        <v>1308044.7107602041</v>
      </c>
      <c r="P64" s="95">
        <f t="shared" si="23"/>
        <v>1347286.0520830101</v>
      </c>
      <c r="Q64" s="95">
        <f t="shared" si="23"/>
        <v>1387704.6336455008</v>
      </c>
      <c r="R64" s="95">
        <f t="shared" si="23"/>
        <v>1429335.7726548659</v>
      </c>
      <c r="S64" s="95">
        <f t="shared" si="23"/>
        <v>1472215.845834512</v>
      </c>
      <c r="T64" s="95">
        <f t="shared" si="23"/>
        <v>1516382.3212095473</v>
      </c>
      <c r="W64" s="98">
        <f>+SUM(K64:T64)</f>
        <v>13323100.241358949</v>
      </c>
      <c r="X64" s="97">
        <f>+K64/K47</f>
        <v>0.51255528471705636</v>
      </c>
    </row>
    <row r="65" spans="1:20" ht="18" customHeight="1" x14ac:dyDescent="0.4">
      <c r="E65" s="80">
        <v>1</v>
      </c>
      <c r="F65" s="64" t="s">
        <v>52</v>
      </c>
      <c r="H65" s="73">
        <v>2750</v>
      </c>
      <c r="I65" s="66" t="s">
        <v>88</v>
      </c>
      <c r="K65" s="65">
        <f>+$H65*$E65*12</f>
        <v>33000</v>
      </c>
      <c r="L65" s="65">
        <f>+K65*(1+$H$27)</f>
        <v>33990</v>
      </c>
      <c r="M65" s="65">
        <f t="shared" ref="M65:T65" si="24">+L65*(1+$H$27)</f>
        <v>35009.700000000004</v>
      </c>
      <c r="N65" s="65">
        <f t="shared" si="24"/>
        <v>36059.991000000002</v>
      </c>
      <c r="O65" s="65">
        <f t="shared" si="24"/>
        <v>37141.790730000001</v>
      </c>
      <c r="P65" s="65">
        <f t="shared" si="24"/>
        <v>38256.044451900001</v>
      </c>
      <c r="Q65" s="65">
        <f t="shared" si="24"/>
        <v>39403.725785457005</v>
      </c>
      <c r="R65" s="65">
        <f t="shared" si="24"/>
        <v>40585.837559020714</v>
      </c>
      <c r="S65" s="65">
        <f t="shared" si="24"/>
        <v>41803.412685791336</v>
      </c>
      <c r="T65" s="65">
        <f t="shared" si="24"/>
        <v>43057.515066365078</v>
      </c>
    </row>
    <row r="66" spans="1:20" ht="18" customHeight="1" x14ac:dyDescent="0.4">
      <c r="A66" s="68" t="s">
        <v>88</v>
      </c>
      <c r="B66" s="67" t="s">
        <v>89</v>
      </c>
      <c r="E66" s="75"/>
      <c r="F66" s="64" t="s">
        <v>53</v>
      </c>
      <c r="H66" s="74"/>
      <c r="I66" s="66"/>
      <c r="K66" s="65">
        <f>+SUM(K67:K69)</f>
        <v>286841.28000000003</v>
      </c>
      <c r="L66" s="65">
        <f t="shared" ref="L66:T66" si="25">+K66*(1+$H$27)</f>
        <v>295446.51840000006</v>
      </c>
      <c r="M66" s="65">
        <f t="shared" si="25"/>
        <v>304309.91395200009</v>
      </c>
      <c r="N66" s="65">
        <f t="shared" si="25"/>
        <v>313439.21137056011</v>
      </c>
      <c r="O66" s="65">
        <f t="shared" si="25"/>
        <v>322842.38771167694</v>
      </c>
      <c r="P66" s="65">
        <f t="shared" si="25"/>
        <v>332527.65934302728</v>
      </c>
      <c r="Q66" s="65">
        <f t="shared" si="25"/>
        <v>342503.48912331811</v>
      </c>
      <c r="R66" s="65">
        <f t="shared" si="25"/>
        <v>352778.59379701765</v>
      </c>
      <c r="S66" s="65">
        <f t="shared" si="25"/>
        <v>363361.95161092817</v>
      </c>
      <c r="T66" s="65">
        <f t="shared" si="25"/>
        <v>374262.81015925604</v>
      </c>
    </row>
    <row r="67" spans="1:20" ht="18" customHeight="1" x14ac:dyDescent="0.4">
      <c r="A67" s="68" t="s">
        <v>90</v>
      </c>
      <c r="B67" s="67" t="s">
        <v>91</v>
      </c>
      <c r="E67" s="80">
        <v>1</v>
      </c>
      <c r="F67" s="58" t="s">
        <v>54</v>
      </c>
      <c r="H67" s="73">
        <v>2350</v>
      </c>
      <c r="I67" s="66" t="s">
        <v>88</v>
      </c>
      <c r="K67" s="57">
        <f>+$H67*$E67*12</f>
        <v>28200</v>
      </c>
      <c r="L67" s="57">
        <f t="shared" ref="L67:T67" si="26">+K67*(1+$H$27)</f>
        <v>29046</v>
      </c>
      <c r="M67" s="57">
        <f t="shared" si="26"/>
        <v>29917.38</v>
      </c>
      <c r="N67" s="57">
        <f t="shared" si="26"/>
        <v>30814.901400000002</v>
      </c>
      <c r="O67" s="57">
        <f t="shared" si="26"/>
        <v>31739.348442000002</v>
      </c>
      <c r="P67" s="57">
        <f t="shared" si="26"/>
        <v>32691.528895260002</v>
      </c>
      <c r="Q67" s="57">
        <f t="shared" si="26"/>
        <v>33672.274762117806</v>
      </c>
      <c r="R67" s="57">
        <f t="shared" si="26"/>
        <v>34682.443004981338</v>
      </c>
      <c r="S67" s="57">
        <f t="shared" si="26"/>
        <v>35722.916295130781</v>
      </c>
      <c r="T67" s="57">
        <f t="shared" si="26"/>
        <v>36794.603783984705</v>
      </c>
    </row>
    <row r="68" spans="1:20" ht="18" customHeight="1" x14ac:dyDescent="0.4">
      <c r="A68" s="68" t="s">
        <v>92</v>
      </c>
      <c r="B68" s="67" t="s">
        <v>93</v>
      </c>
      <c r="E68" s="80">
        <v>10</v>
      </c>
      <c r="F68" s="58" t="s">
        <v>55</v>
      </c>
      <c r="H68" s="73">
        <v>2000</v>
      </c>
      <c r="I68" s="66" t="s">
        <v>88</v>
      </c>
      <c r="K68" s="57">
        <f>+$H68*$E68*12</f>
        <v>240000</v>
      </c>
      <c r="L68" s="57">
        <f t="shared" ref="L68:T68" si="27">+K68*(1+$H$27)</f>
        <v>247200</v>
      </c>
      <c r="M68" s="57">
        <f t="shared" si="27"/>
        <v>254616</v>
      </c>
      <c r="N68" s="57">
        <f t="shared" si="27"/>
        <v>262254.48</v>
      </c>
      <c r="O68" s="57">
        <f t="shared" si="27"/>
        <v>270122.11439999996</v>
      </c>
      <c r="P68" s="57">
        <f t="shared" si="27"/>
        <v>278225.77783199999</v>
      </c>
      <c r="Q68" s="57">
        <f t="shared" si="27"/>
        <v>286572.55116695998</v>
      </c>
      <c r="R68" s="57">
        <f t="shared" si="27"/>
        <v>295169.7277019688</v>
      </c>
      <c r="S68" s="57">
        <f t="shared" si="27"/>
        <v>304024.81953302788</v>
      </c>
      <c r="T68" s="57">
        <f t="shared" si="27"/>
        <v>313145.56411901873</v>
      </c>
    </row>
    <row r="69" spans="1:20" ht="18" customHeight="1" x14ac:dyDescent="0.4">
      <c r="E69" s="75"/>
      <c r="F69" s="58" t="s">
        <v>56</v>
      </c>
      <c r="H69" s="73">
        <v>1.2</v>
      </c>
      <c r="I69" s="66" t="s">
        <v>92</v>
      </c>
      <c r="K69" s="57">
        <f>+$H69*$H$62</f>
        <v>18641.28</v>
      </c>
      <c r="L69" s="57">
        <f t="shared" ref="L69:T69" si="28">+K69*(1+$H$27)</f>
        <v>19200.518400000001</v>
      </c>
      <c r="M69" s="57">
        <f t="shared" si="28"/>
        <v>19776.533952000002</v>
      </c>
      <c r="N69" s="57">
        <f t="shared" si="28"/>
        <v>20369.829970560004</v>
      </c>
      <c r="O69" s="57">
        <f t="shared" si="28"/>
        <v>20980.924869676805</v>
      </c>
      <c r="P69" s="57">
        <f t="shared" si="28"/>
        <v>21610.352615767108</v>
      </c>
      <c r="Q69" s="57">
        <f t="shared" si="28"/>
        <v>22258.663194240122</v>
      </c>
      <c r="R69" s="57">
        <f t="shared" si="28"/>
        <v>22926.423090067325</v>
      </c>
      <c r="S69" s="57">
        <f t="shared" si="28"/>
        <v>23614.215782769345</v>
      </c>
      <c r="T69" s="57">
        <f t="shared" si="28"/>
        <v>24322.642256252424</v>
      </c>
    </row>
    <row r="70" spans="1:20" ht="18" customHeight="1" x14ac:dyDescent="0.4">
      <c r="E70" s="75"/>
      <c r="F70" s="64" t="s">
        <v>57</v>
      </c>
      <c r="H70" s="74"/>
      <c r="I70" s="66"/>
      <c r="K70" s="65">
        <f>+SUM(K71:K73)</f>
        <v>37837.040000000001</v>
      </c>
      <c r="L70" s="65">
        <f t="shared" ref="L70:T70" si="29">+K70*(1+$H$27)</f>
        <v>38972.1512</v>
      </c>
      <c r="M70" s="65">
        <f t="shared" si="29"/>
        <v>40141.315736000004</v>
      </c>
      <c r="N70" s="65">
        <f t="shared" si="29"/>
        <v>41345.555208080004</v>
      </c>
      <c r="O70" s="65">
        <f t="shared" si="29"/>
        <v>42585.921864322409</v>
      </c>
      <c r="P70" s="65">
        <f t="shared" si="29"/>
        <v>43863.49952025208</v>
      </c>
      <c r="Q70" s="65">
        <f t="shared" si="29"/>
        <v>45179.404505859646</v>
      </c>
      <c r="R70" s="65">
        <f t="shared" si="29"/>
        <v>46534.786641035433</v>
      </c>
      <c r="S70" s="65">
        <f t="shared" si="29"/>
        <v>47930.830240266499</v>
      </c>
      <c r="T70" s="65">
        <f t="shared" si="29"/>
        <v>49368.755147474498</v>
      </c>
    </row>
    <row r="71" spans="1:20" ht="18" customHeight="1" x14ac:dyDescent="0.4">
      <c r="E71" s="75"/>
      <c r="F71" s="58" t="s">
        <v>58</v>
      </c>
      <c r="H71" s="73">
        <v>500</v>
      </c>
      <c r="I71" s="66" t="s">
        <v>88</v>
      </c>
      <c r="K71" s="57">
        <f>+H71*12</f>
        <v>6000</v>
      </c>
      <c r="L71" s="57">
        <f t="shared" ref="L71:T71" si="30">+K71*(1+$H$27)</f>
        <v>6180</v>
      </c>
      <c r="M71" s="57">
        <f t="shared" si="30"/>
        <v>6365.4000000000005</v>
      </c>
      <c r="N71" s="57">
        <f t="shared" si="30"/>
        <v>6556.362000000001</v>
      </c>
      <c r="O71" s="57">
        <f t="shared" si="30"/>
        <v>6753.0528600000016</v>
      </c>
      <c r="P71" s="57">
        <f t="shared" si="30"/>
        <v>6955.6444458000014</v>
      </c>
      <c r="Q71" s="57">
        <f t="shared" si="30"/>
        <v>7164.3137791740019</v>
      </c>
      <c r="R71" s="57">
        <f t="shared" si="30"/>
        <v>7379.2431925492219</v>
      </c>
      <c r="S71" s="57">
        <f t="shared" si="30"/>
        <v>7600.6204883256987</v>
      </c>
      <c r="T71" s="57">
        <f t="shared" si="30"/>
        <v>7828.6391029754695</v>
      </c>
    </row>
    <row r="72" spans="1:20" ht="18" customHeight="1" x14ac:dyDescent="0.4">
      <c r="E72" s="80">
        <v>1</v>
      </c>
      <c r="F72" s="58" t="s">
        <v>59</v>
      </c>
      <c r="H72" s="73">
        <v>2200</v>
      </c>
      <c r="I72" s="66" t="s">
        <v>88</v>
      </c>
      <c r="K72" s="57">
        <f>+$H72*$E72*12</f>
        <v>26400</v>
      </c>
      <c r="L72" s="57">
        <f t="shared" ref="L72:T72" si="31">+K72*(1+$H$27)</f>
        <v>27192</v>
      </c>
      <c r="M72" s="57">
        <f t="shared" si="31"/>
        <v>28007.760000000002</v>
      </c>
      <c r="N72" s="57">
        <f t="shared" si="31"/>
        <v>28847.992800000004</v>
      </c>
      <c r="O72" s="57">
        <f t="shared" si="31"/>
        <v>29713.432584000006</v>
      </c>
      <c r="P72" s="57">
        <f t="shared" si="31"/>
        <v>30604.835561520005</v>
      </c>
      <c r="Q72" s="57">
        <f t="shared" si="31"/>
        <v>31522.980628365607</v>
      </c>
      <c r="R72" s="57">
        <f t="shared" si="31"/>
        <v>32468.670047216576</v>
      </c>
      <c r="S72" s="57">
        <f t="shared" si="31"/>
        <v>33442.730148633076</v>
      </c>
      <c r="T72" s="57">
        <f t="shared" si="31"/>
        <v>34446.012053092069</v>
      </c>
    </row>
    <row r="73" spans="1:20" ht="18" customHeight="1" x14ac:dyDescent="0.4">
      <c r="E73" s="75"/>
      <c r="F73" s="58" t="s">
        <v>60</v>
      </c>
      <c r="H73" s="73">
        <v>0.35</v>
      </c>
      <c r="I73" s="66" t="s">
        <v>92</v>
      </c>
      <c r="K73" s="57">
        <f>+$H73*$H$62</f>
        <v>5437.04</v>
      </c>
      <c r="L73" s="57">
        <f t="shared" ref="L73:T73" si="32">+K73*(1+$H$27)</f>
        <v>5600.1512000000002</v>
      </c>
      <c r="M73" s="57">
        <f t="shared" si="32"/>
        <v>5768.1557360000006</v>
      </c>
      <c r="N73" s="57">
        <f t="shared" si="32"/>
        <v>5941.2004080800007</v>
      </c>
      <c r="O73" s="57">
        <f t="shared" si="32"/>
        <v>6119.4364203224004</v>
      </c>
      <c r="P73" s="57">
        <f t="shared" si="32"/>
        <v>6303.0195129320728</v>
      </c>
      <c r="Q73" s="57">
        <f t="shared" si="32"/>
        <v>6492.1100983200349</v>
      </c>
      <c r="R73" s="57">
        <f t="shared" si="32"/>
        <v>6686.8734012696359</v>
      </c>
      <c r="S73" s="57">
        <f t="shared" si="32"/>
        <v>6887.4796033077255</v>
      </c>
      <c r="T73" s="57">
        <f t="shared" si="32"/>
        <v>7094.103991406957</v>
      </c>
    </row>
    <row r="74" spans="1:20" ht="18" customHeight="1" x14ac:dyDescent="0.4">
      <c r="E74" s="75"/>
      <c r="F74" s="64" t="s">
        <v>61</v>
      </c>
      <c r="H74" s="74"/>
      <c r="I74" s="66"/>
      <c r="K74" s="65">
        <f>+SUM(K75:K78)</f>
        <v>70789.630714285711</v>
      </c>
      <c r="L74" s="65">
        <f t="shared" ref="L74:T74" si="33">+K74*(1+$H$27)</f>
        <v>72913.319635714288</v>
      </c>
      <c r="M74" s="65">
        <f t="shared" si="33"/>
        <v>75100.719224785717</v>
      </c>
      <c r="N74" s="65">
        <f t="shared" si="33"/>
        <v>77353.740801529289</v>
      </c>
      <c r="O74" s="65">
        <f t="shared" si="33"/>
        <v>79674.353025575168</v>
      </c>
      <c r="P74" s="65">
        <f t="shared" si="33"/>
        <v>82064.583616342425</v>
      </c>
      <c r="Q74" s="65">
        <f t="shared" si="33"/>
        <v>84526.521124832696</v>
      </c>
      <c r="R74" s="65">
        <f t="shared" si="33"/>
        <v>87062.316758577683</v>
      </c>
      <c r="S74" s="65">
        <f t="shared" si="33"/>
        <v>89674.186261335009</v>
      </c>
      <c r="T74" s="65">
        <f t="shared" si="33"/>
        <v>92364.411849175056</v>
      </c>
    </row>
    <row r="75" spans="1:20" ht="18" customHeight="1" x14ac:dyDescent="0.4">
      <c r="E75" s="75"/>
      <c r="F75" s="58" t="s">
        <v>62</v>
      </c>
      <c r="H75" s="112">
        <v>2.5000000000000001E-2</v>
      </c>
      <c r="I75" s="66" t="s">
        <v>90</v>
      </c>
      <c r="K75" s="57">
        <f>+$H75*K$47</f>
        <v>56685.630714285704</v>
      </c>
      <c r="L75" s="57">
        <f t="shared" ref="L75:T75" si="34">+K75*(1+$H$27)</f>
        <v>58386.199635714278</v>
      </c>
      <c r="M75" s="57">
        <f t="shared" si="34"/>
        <v>60137.785624785705</v>
      </c>
      <c r="N75" s="57">
        <f t="shared" si="34"/>
        <v>61941.919193529277</v>
      </c>
      <c r="O75" s="57">
        <f t="shared" si="34"/>
        <v>63800.176769335158</v>
      </c>
      <c r="P75" s="57">
        <f t="shared" si="34"/>
        <v>65714.18207241522</v>
      </c>
      <c r="Q75" s="57">
        <f t="shared" si="34"/>
        <v>67685.607534587674</v>
      </c>
      <c r="R75" s="57">
        <f t="shared" si="34"/>
        <v>69716.175760625309</v>
      </c>
      <c r="S75" s="57">
        <f t="shared" si="34"/>
        <v>71807.661033444063</v>
      </c>
      <c r="T75" s="57">
        <f t="shared" si="34"/>
        <v>73961.890864447385</v>
      </c>
    </row>
    <row r="76" spans="1:20" ht="18" customHeight="1" x14ac:dyDescent="0.4">
      <c r="E76" s="80">
        <v>0.5</v>
      </c>
      <c r="F76" s="58" t="s">
        <v>63</v>
      </c>
      <c r="H76" s="73">
        <v>2200</v>
      </c>
      <c r="I76" s="66" t="s">
        <v>88</v>
      </c>
      <c r="K76" s="57">
        <f>+$H76*$E76*12</f>
        <v>13200</v>
      </c>
      <c r="L76" s="57">
        <f t="shared" ref="L76:T76" si="35">+K76*(1+$H$27)</f>
        <v>13596</v>
      </c>
      <c r="M76" s="57">
        <f t="shared" si="35"/>
        <v>14003.880000000001</v>
      </c>
      <c r="N76" s="57">
        <f t="shared" si="35"/>
        <v>14423.996400000002</v>
      </c>
      <c r="O76" s="57">
        <f t="shared" si="35"/>
        <v>14856.716292000003</v>
      </c>
      <c r="P76" s="57">
        <f t="shared" si="35"/>
        <v>15302.417780760003</v>
      </c>
      <c r="Q76" s="57">
        <f t="shared" si="35"/>
        <v>15761.490314182804</v>
      </c>
      <c r="R76" s="57">
        <f t="shared" si="35"/>
        <v>16234.335023608288</v>
      </c>
      <c r="S76" s="57">
        <f t="shared" si="35"/>
        <v>16721.365074316538</v>
      </c>
      <c r="T76" s="57">
        <f t="shared" si="35"/>
        <v>17223.006026546034</v>
      </c>
    </row>
    <row r="77" spans="1:20" ht="18" customHeight="1" x14ac:dyDescent="0.4">
      <c r="E77" s="75"/>
      <c r="F77" s="58" t="s">
        <v>64</v>
      </c>
      <c r="H77" s="76">
        <v>0.14000000000000001</v>
      </c>
      <c r="I77" s="66" t="s">
        <v>96</v>
      </c>
      <c r="K77" s="57">
        <f>+$H77*K$50</f>
        <v>504.00000000000006</v>
      </c>
      <c r="L77" s="57">
        <f t="shared" ref="L77:T77" si="36">+K77*(1+$H$27)</f>
        <v>519.12000000000012</v>
      </c>
      <c r="M77" s="57">
        <f t="shared" si="36"/>
        <v>534.69360000000017</v>
      </c>
      <c r="N77" s="57">
        <f t="shared" si="36"/>
        <v>550.73440800000014</v>
      </c>
      <c r="O77" s="57">
        <f t="shared" si="36"/>
        <v>567.25644024000019</v>
      </c>
      <c r="P77" s="57">
        <f t="shared" si="36"/>
        <v>584.27413344720026</v>
      </c>
      <c r="Q77" s="57">
        <f t="shared" si="36"/>
        <v>601.80235745061623</v>
      </c>
      <c r="R77" s="57">
        <f t="shared" si="36"/>
        <v>619.85642817413475</v>
      </c>
      <c r="S77" s="57">
        <f t="shared" si="36"/>
        <v>638.45212101935886</v>
      </c>
      <c r="T77" s="57">
        <f t="shared" si="36"/>
        <v>657.60568464993969</v>
      </c>
    </row>
    <row r="78" spans="1:20" ht="18" customHeight="1" x14ac:dyDescent="0.4">
      <c r="E78" s="75"/>
      <c r="F78" s="58" t="s">
        <v>65</v>
      </c>
      <c r="H78" s="73">
        <v>33.333333333333336</v>
      </c>
      <c r="I78" s="66" t="s">
        <v>88</v>
      </c>
      <c r="K78" s="57">
        <f>+H78*12</f>
        <v>400</v>
      </c>
      <c r="L78" s="57">
        <f t="shared" ref="L78:T78" si="37">+K78*(1+$H$27)</f>
        <v>412</v>
      </c>
      <c r="M78" s="57">
        <f t="shared" si="37"/>
        <v>424.36</v>
      </c>
      <c r="N78" s="57">
        <f t="shared" si="37"/>
        <v>437.0908</v>
      </c>
      <c r="O78" s="57">
        <f t="shared" si="37"/>
        <v>450.20352400000002</v>
      </c>
      <c r="P78" s="57">
        <f t="shared" si="37"/>
        <v>463.70962972000001</v>
      </c>
      <c r="Q78" s="57">
        <f t="shared" si="37"/>
        <v>477.62091861160002</v>
      </c>
      <c r="R78" s="57">
        <f t="shared" si="37"/>
        <v>491.94954616994801</v>
      </c>
      <c r="S78" s="57">
        <f t="shared" si="37"/>
        <v>506.70803255504649</v>
      </c>
      <c r="T78" s="57">
        <f t="shared" si="37"/>
        <v>521.90927353169786</v>
      </c>
    </row>
    <row r="79" spans="1:20" ht="18" customHeight="1" x14ac:dyDescent="0.4">
      <c r="E79" s="75"/>
      <c r="F79" s="64" t="s">
        <v>66</v>
      </c>
      <c r="H79" s="74"/>
      <c r="I79" s="66"/>
      <c r="K79" s="65">
        <f>+SUM(K80:K89)</f>
        <v>89838.555028571413</v>
      </c>
      <c r="L79" s="65">
        <f t="shared" ref="L79:T79" si="38">+K79*(1+$H$27)</f>
        <v>92533.711679428554</v>
      </c>
      <c r="M79" s="65">
        <f t="shared" si="38"/>
        <v>95309.723029811415</v>
      </c>
      <c r="N79" s="65">
        <f t="shared" si="38"/>
        <v>98169.01472070576</v>
      </c>
      <c r="O79" s="65">
        <f t="shared" si="38"/>
        <v>101114.08516232694</v>
      </c>
      <c r="P79" s="65">
        <f t="shared" si="38"/>
        <v>104147.50771719676</v>
      </c>
      <c r="Q79" s="65">
        <f t="shared" si="38"/>
        <v>107271.93294871267</v>
      </c>
      <c r="R79" s="65">
        <f t="shared" si="38"/>
        <v>110490.09093717406</v>
      </c>
      <c r="S79" s="65">
        <f t="shared" si="38"/>
        <v>113804.79366528928</v>
      </c>
      <c r="T79" s="65">
        <f t="shared" si="38"/>
        <v>117218.93747524796</v>
      </c>
    </row>
    <row r="80" spans="1:20" ht="18" customHeight="1" x14ac:dyDescent="0.4">
      <c r="E80" s="75"/>
      <c r="F80" s="58" t="s">
        <v>67</v>
      </c>
      <c r="H80" s="73">
        <v>0.5</v>
      </c>
      <c r="I80" s="66" t="s">
        <v>92</v>
      </c>
      <c r="K80" s="57">
        <f>+$H80*$H$62</f>
        <v>7767.2</v>
      </c>
      <c r="L80" s="57">
        <f t="shared" ref="L80:T80" si="39">+K80*(1+$H$27)</f>
        <v>8000.2160000000003</v>
      </c>
      <c r="M80" s="57">
        <f t="shared" si="39"/>
        <v>8240.2224800000004</v>
      </c>
      <c r="N80" s="57">
        <f t="shared" si="39"/>
        <v>8487.4291544000007</v>
      </c>
      <c r="O80" s="57">
        <f t="shared" si="39"/>
        <v>8742.0520290320001</v>
      </c>
      <c r="P80" s="57">
        <f t="shared" si="39"/>
        <v>9004.3135899029603</v>
      </c>
      <c r="Q80" s="57">
        <f t="shared" si="39"/>
        <v>9274.4429976000501</v>
      </c>
      <c r="R80" s="57">
        <f t="shared" si="39"/>
        <v>9552.676287528051</v>
      </c>
      <c r="S80" s="57">
        <f t="shared" si="39"/>
        <v>9839.2565761538935</v>
      </c>
      <c r="T80" s="57">
        <f t="shared" si="39"/>
        <v>10134.43427343851</v>
      </c>
    </row>
    <row r="81" spans="5:20" ht="18" customHeight="1" x14ac:dyDescent="0.4">
      <c r="E81" s="75"/>
      <c r="F81" s="58" t="s">
        <v>68</v>
      </c>
      <c r="H81" s="73">
        <v>65</v>
      </c>
      <c r="I81" s="66" t="s">
        <v>88</v>
      </c>
      <c r="K81" s="57">
        <f t="shared" ref="K81:K85" si="40">+H81*12</f>
        <v>780</v>
      </c>
      <c r="L81" s="57">
        <f t="shared" ref="L81:T81" si="41">+K81*(1+$H$27)</f>
        <v>803.4</v>
      </c>
      <c r="M81" s="57">
        <f t="shared" si="41"/>
        <v>827.50199999999995</v>
      </c>
      <c r="N81" s="57">
        <f t="shared" si="41"/>
        <v>852.32705999999996</v>
      </c>
      <c r="O81" s="57">
        <f t="shared" si="41"/>
        <v>877.89687179999999</v>
      </c>
      <c r="P81" s="57">
        <f t="shared" si="41"/>
        <v>904.23377795400006</v>
      </c>
      <c r="Q81" s="57">
        <f t="shared" si="41"/>
        <v>931.36079129262009</v>
      </c>
      <c r="R81" s="57">
        <f t="shared" si="41"/>
        <v>959.30161503139868</v>
      </c>
      <c r="S81" s="57">
        <f t="shared" si="41"/>
        <v>988.0806634823407</v>
      </c>
      <c r="T81" s="57">
        <f t="shared" si="41"/>
        <v>1017.7230833868109</v>
      </c>
    </row>
    <row r="82" spans="5:20" ht="18" customHeight="1" x14ac:dyDescent="0.4">
      <c r="E82" s="75"/>
      <c r="F82" s="58" t="s">
        <v>69</v>
      </c>
      <c r="H82" s="81">
        <v>1250</v>
      </c>
      <c r="I82" s="66" t="s">
        <v>88</v>
      </c>
      <c r="K82" s="57">
        <f t="shared" si="40"/>
        <v>15000</v>
      </c>
      <c r="L82" s="57">
        <f t="shared" ref="L82:T82" si="42">+K82*(1+$H$27)</f>
        <v>15450</v>
      </c>
      <c r="M82" s="57">
        <f t="shared" si="42"/>
        <v>15913.5</v>
      </c>
      <c r="N82" s="57">
        <f t="shared" si="42"/>
        <v>16390.904999999999</v>
      </c>
      <c r="O82" s="57">
        <f t="shared" si="42"/>
        <v>16882.632149999998</v>
      </c>
      <c r="P82" s="57">
        <f t="shared" si="42"/>
        <v>17389.1111145</v>
      </c>
      <c r="Q82" s="57">
        <f t="shared" si="42"/>
        <v>17910.784447934999</v>
      </c>
      <c r="R82" s="57">
        <f t="shared" si="42"/>
        <v>18448.10798137305</v>
      </c>
      <c r="S82" s="57">
        <f t="shared" si="42"/>
        <v>19001.551220814243</v>
      </c>
      <c r="T82" s="57">
        <f t="shared" si="42"/>
        <v>19571.597757438671</v>
      </c>
    </row>
    <row r="83" spans="5:20" ht="18" customHeight="1" x14ac:dyDescent="0.4">
      <c r="E83" s="75"/>
      <c r="F83" s="58" t="s">
        <v>70</v>
      </c>
      <c r="H83" s="73">
        <v>0</v>
      </c>
      <c r="I83" s="66" t="s">
        <v>88</v>
      </c>
      <c r="K83" s="57">
        <f t="shared" si="40"/>
        <v>0</v>
      </c>
      <c r="L83" s="57">
        <f t="shared" ref="L83:T83" si="43">+K83*(1+$H$27)</f>
        <v>0</v>
      </c>
      <c r="M83" s="57">
        <f t="shared" si="43"/>
        <v>0</v>
      </c>
      <c r="N83" s="57">
        <f t="shared" si="43"/>
        <v>0</v>
      </c>
      <c r="O83" s="57">
        <f t="shared" si="43"/>
        <v>0</v>
      </c>
      <c r="P83" s="57">
        <f t="shared" si="43"/>
        <v>0</v>
      </c>
      <c r="Q83" s="57">
        <f t="shared" si="43"/>
        <v>0</v>
      </c>
      <c r="R83" s="57">
        <f t="shared" si="43"/>
        <v>0</v>
      </c>
      <c r="S83" s="57">
        <f t="shared" si="43"/>
        <v>0</v>
      </c>
      <c r="T83" s="57">
        <f t="shared" si="43"/>
        <v>0</v>
      </c>
    </row>
    <row r="84" spans="5:20" ht="18" customHeight="1" x14ac:dyDescent="0.4">
      <c r="E84" s="75"/>
      <c r="F84" s="58" t="s">
        <v>71</v>
      </c>
      <c r="H84" s="73">
        <v>333.33333333333331</v>
      </c>
      <c r="I84" s="66" t="s">
        <v>88</v>
      </c>
      <c r="K84" s="57">
        <f t="shared" si="40"/>
        <v>4000</v>
      </c>
      <c r="L84" s="57">
        <f t="shared" ref="L84:T84" si="44">+K84*(1+$H$27)</f>
        <v>4120</v>
      </c>
      <c r="M84" s="57">
        <f t="shared" si="44"/>
        <v>4243.6000000000004</v>
      </c>
      <c r="N84" s="57">
        <f t="shared" si="44"/>
        <v>4370.9080000000004</v>
      </c>
      <c r="O84" s="57">
        <f t="shared" si="44"/>
        <v>4502.0352400000002</v>
      </c>
      <c r="P84" s="57">
        <f t="shared" si="44"/>
        <v>4637.0962972000007</v>
      </c>
      <c r="Q84" s="57">
        <f t="shared" si="44"/>
        <v>4776.2091861160006</v>
      </c>
      <c r="R84" s="57">
        <f t="shared" si="44"/>
        <v>4919.495461699481</v>
      </c>
      <c r="S84" s="57">
        <f t="shared" si="44"/>
        <v>5067.0803255504652</v>
      </c>
      <c r="T84" s="57">
        <f t="shared" si="44"/>
        <v>5219.0927353169791</v>
      </c>
    </row>
    <row r="85" spans="5:20" ht="18" customHeight="1" x14ac:dyDescent="0.4">
      <c r="E85" s="75"/>
      <c r="F85" s="58" t="s">
        <v>72</v>
      </c>
      <c r="H85" s="73">
        <f>56*14</f>
        <v>784</v>
      </c>
      <c r="I85" s="66" t="s">
        <v>88</v>
      </c>
      <c r="K85" s="57">
        <f t="shared" si="40"/>
        <v>9408</v>
      </c>
      <c r="L85" s="57">
        <f t="shared" ref="L85:T85" si="45">+K85*(1+$H$27)</f>
        <v>9690.24</v>
      </c>
      <c r="M85" s="57">
        <f t="shared" si="45"/>
        <v>9980.9472000000005</v>
      </c>
      <c r="N85" s="57">
        <f t="shared" si="45"/>
        <v>10280.375616000001</v>
      </c>
      <c r="O85" s="57">
        <f t="shared" si="45"/>
        <v>10588.786884480001</v>
      </c>
      <c r="P85" s="57">
        <f t="shared" si="45"/>
        <v>10906.450491014402</v>
      </c>
      <c r="Q85" s="57">
        <f t="shared" si="45"/>
        <v>11233.644005744834</v>
      </c>
      <c r="R85" s="57">
        <f t="shared" si="45"/>
        <v>11570.653325917179</v>
      </c>
      <c r="S85" s="57">
        <f t="shared" si="45"/>
        <v>11917.772925694695</v>
      </c>
      <c r="T85" s="57">
        <f t="shared" si="45"/>
        <v>12275.306113465536</v>
      </c>
    </row>
    <row r="86" spans="5:20" ht="18" customHeight="1" x14ac:dyDescent="0.4">
      <c r="E86" s="75"/>
      <c r="F86" s="58" t="s">
        <v>73</v>
      </c>
      <c r="H86" s="76">
        <v>0.02</v>
      </c>
      <c r="I86" s="66" t="s">
        <v>90</v>
      </c>
      <c r="K86" s="57">
        <f t="shared" ref="K86:K87" si="46">+$H86*K$47</f>
        <v>45348.504571428559</v>
      </c>
      <c r="L86" s="57">
        <f t="shared" ref="L86:T86" si="47">+K86*(1+$H$27)</f>
        <v>46708.959708571419</v>
      </c>
      <c r="M86" s="57">
        <f t="shared" si="47"/>
        <v>48110.228499828561</v>
      </c>
      <c r="N86" s="57">
        <f t="shared" si="47"/>
        <v>49553.53535482342</v>
      </c>
      <c r="O86" s="57">
        <f t="shared" si="47"/>
        <v>51040.141415468126</v>
      </c>
      <c r="P86" s="57">
        <f t="shared" si="47"/>
        <v>52571.345657932172</v>
      </c>
      <c r="Q86" s="57">
        <f t="shared" si="47"/>
        <v>54148.486027670137</v>
      </c>
      <c r="R86" s="57">
        <f t="shared" si="47"/>
        <v>55772.940608500241</v>
      </c>
      <c r="S86" s="57">
        <f t="shared" si="47"/>
        <v>57446.128826755252</v>
      </c>
      <c r="T86" s="57">
        <f t="shared" si="47"/>
        <v>59169.512691557909</v>
      </c>
    </row>
    <row r="87" spans="5:20" ht="18" customHeight="1" x14ac:dyDescent="0.4">
      <c r="E87" s="75"/>
      <c r="F87" s="58" t="s">
        <v>74</v>
      </c>
      <c r="H87" s="77">
        <v>2E-3</v>
      </c>
      <c r="I87" s="66" t="s">
        <v>90</v>
      </c>
      <c r="K87" s="57">
        <f t="shared" si="46"/>
        <v>4534.8504571428557</v>
      </c>
      <c r="L87" s="57">
        <f t="shared" ref="L87:T87" si="48">+K87*(1+$H$27)</f>
        <v>4670.8959708571419</v>
      </c>
      <c r="M87" s="57">
        <f t="shared" si="48"/>
        <v>4811.0228499828563</v>
      </c>
      <c r="N87" s="57">
        <f t="shared" si="48"/>
        <v>4955.3535354823425</v>
      </c>
      <c r="O87" s="57">
        <f t="shared" si="48"/>
        <v>5104.0141415468133</v>
      </c>
      <c r="P87" s="57">
        <f t="shared" si="48"/>
        <v>5257.1345657932179</v>
      </c>
      <c r="Q87" s="57">
        <f t="shared" si="48"/>
        <v>5414.8486027670142</v>
      </c>
      <c r="R87" s="57">
        <f t="shared" si="48"/>
        <v>5577.2940608500248</v>
      </c>
      <c r="S87" s="57">
        <f t="shared" si="48"/>
        <v>5744.6128826755257</v>
      </c>
      <c r="T87" s="57">
        <f t="shared" si="48"/>
        <v>5916.951269155792</v>
      </c>
    </row>
    <row r="88" spans="5:20" ht="18" customHeight="1" x14ac:dyDescent="0.4">
      <c r="E88" s="75"/>
      <c r="F88" s="58" t="s">
        <v>75</v>
      </c>
      <c r="H88" s="73">
        <v>166.66666666666666</v>
      </c>
      <c r="I88" s="66" t="s">
        <v>88</v>
      </c>
      <c r="K88" s="57">
        <f t="shared" ref="K88:K89" si="49">+H88*12</f>
        <v>2000</v>
      </c>
      <c r="L88" s="57">
        <f t="shared" ref="L88:T88" si="50">+K88*(1+$H$27)</f>
        <v>2060</v>
      </c>
      <c r="M88" s="57">
        <f t="shared" si="50"/>
        <v>2121.8000000000002</v>
      </c>
      <c r="N88" s="57">
        <f t="shared" si="50"/>
        <v>2185.4540000000002</v>
      </c>
      <c r="O88" s="57">
        <f t="shared" si="50"/>
        <v>2251.0176200000001</v>
      </c>
      <c r="P88" s="57">
        <f t="shared" si="50"/>
        <v>2318.5481486000003</v>
      </c>
      <c r="Q88" s="57">
        <f t="shared" si="50"/>
        <v>2388.1045930580003</v>
      </c>
      <c r="R88" s="57">
        <f t="shared" si="50"/>
        <v>2459.7477308497405</v>
      </c>
      <c r="S88" s="57">
        <f t="shared" si="50"/>
        <v>2533.5401627752326</v>
      </c>
      <c r="T88" s="57">
        <f t="shared" si="50"/>
        <v>2609.5463676584895</v>
      </c>
    </row>
    <row r="89" spans="5:20" ht="18" customHeight="1" x14ac:dyDescent="0.4">
      <c r="E89" s="75"/>
      <c r="F89" s="58" t="s">
        <v>76</v>
      </c>
      <c r="H89" s="73">
        <v>83.333333333333329</v>
      </c>
      <c r="I89" s="66" t="s">
        <v>88</v>
      </c>
      <c r="K89" s="57">
        <f t="shared" si="49"/>
        <v>1000</v>
      </c>
      <c r="L89" s="57">
        <f t="shared" ref="L89:T89" si="51">+K89*(1+$H$27)</f>
        <v>1030</v>
      </c>
      <c r="M89" s="57">
        <f t="shared" si="51"/>
        <v>1060.9000000000001</v>
      </c>
      <c r="N89" s="57">
        <f t="shared" si="51"/>
        <v>1092.7270000000001</v>
      </c>
      <c r="O89" s="57">
        <f t="shared" si="51"/>
        <v>1125.50881</v>
      </c>
      <c r="P89" s="57">
        <f t="shared" si="51"/>
        <v>1159.2740743000002</v>
      </c>
      <c r="Q89" s="57">
        <f t="shared" si="51"/>
        <v>1194.0522965290002</v>
      </c>
      <c r="R89" s="57">
        <f t="shared" si="51"/>
        <v>1229.8738654248702</v>
      </c>
      <c r="S89" s="57">
        <f t="shared" si="51"/>
        <v>1266.7700813876163</v>
      </c>
      <c r="T89" s="57">
        <f t="shared" si="51"/>
        <v>1304.7731838292448</v>
      </c>
    </row>
    <row r="90" spans="5:20" ht="18" customHeight="1" x14ac:dyDescent="0.4">
      <c r="E90" s="75"/>
      <c r="F90" s="64" t="s">
        <v>77</v>
      </c>
      <c r="H90" s="74"/>
      <c r="I90" s="66"/>
      <c r="K90" s="65">
        <f>+SUM(K91:K93)</f>
        <v>67997.919999999998</v>
      </c>
      <c r="L90" s="65">
        <f t="shared" ref="L90:T90" si="52">+K90*(1+$H$27)</f>
        <v>70037.857600000003</v>
      </c>
      <c r="M90" s="65">
        <f t="shared" si="52"/>
        <v>72138.993328000011</v>
      </c>
      <c r="N90" s="65">
        <f t="shared" si="52"/>
        <v>74303.163127840016</v>
      </c>
      <c r="O90" s="65">
        <f t="shared" si="52"/>
        <v>76532.258021675225</v>
      </c>
      <c r="P90" s="65">
        <f t="shared" si="52"/>
        <v>78828.225762325485</v>
      </c>
      <c r="Q90" s="65">
        <f t="shared" si="52"/>
        <v>81193.072535195257</v>
      </c>
      <c r="R90" s="65">
        <f t="shared" si="52"/>
        <v>83628.86471125111</v>
      </c>
      <c r="S90" s="65">
        <f t="shared" si="52"/>
        <v>86137.730652588652</v>
      </c>
      <c r="T90" s="65">
        <f t="shared" si="52"/>
        <v>88721.862572166312</v>
      </c>
    </row>
    <row r="91" spans="5:20" ht="18" customHeight="1" x14ac:dyDescent="0.4">
      <c r="E91" s="75"/>
      <c r="F91" s="58" t="s">
        <v>78</v>
      </c>
      <c r="H91" s="73">
        <v>3.5</v>
      </c>
      <c r="I91" s="66" t="s">
        <v>92</v>
      </c>
      <c r="K91" s="57">
        <f t="shared" ref="K91:K92" si="53">+$H91*$H$62</f>
        <v>54370.400000000001</v>
      </c>
      <c r="L91" s="57">
        <f t="shared" ref="L91:T91" si="54">+K91*(1+$H$27)</f>
        <v>56001.512000000002</v>
      </c>
      <c r="M91" s="57">
        <f t="shared" si="54"/>
        <v>57681.557360000006</v>
      </c>
      <c r="N91" s="57">
        <f t="shared" si="54"/>
        <v>59412.004080800005</v>
      </c>
      <c r="O91" s="57">
        <f t="shared" si="54"/>
        <v>61194.36420322401</v>
      </c>
      <c r="P91" s="57">
        <f t="shared" si="54"/>
        <v>63030.195129320731</v>
      </c>
      <c r="Q91" s="57">
        <f t="shared" si="54"/>
        <v>64921.100983200355</v>
      </c>
      <c r="R91" s="57">
        <f t="shared" si="54"/>
        <v>66868.734012696368</v>
      </c>
      <c r="S91" s="57">
        <f t="shared" si="54"/>
        <v>68874.796033077262</v>
      </c>
      <c r="T91" s="57">
        <f t="shared" si="54"/>
        <v>70941.039914069581</v>
      </c>
    </row>
    <row r="92" spans="5:20" ht="18" customHeight="1" x14ac:dyDescent="0.4">
      <c r="E92" s="75"/>
      <c r="F92" s="58" t="s">
        <v>79</v>
      </c>
      <c r="H92" s="73">
        <v>0.8</v>
      </c>
      <c r="I92" s="66" t="s">
        <v>92</v>
      </c>
      <c r="K92" s="57">
        <f t="shared" si="53"/>
        <v>12427.52</v>
      </c>
      <c r="L92" s="57">
        <f t="shared" ref="L92:T92" si="55">+K92*(1+$H$27)</f>
        <v>12800.345600000001</v>
      </c>
      <c r="M92" s="57">
        <f t="shared" si="55"/>
        <v>13184.355968000002</v>
      </c>
      <c r="N92" s="57">
        <f t="shared" si="55"/>
        <v>13579.886647040003</v>
      </c>
      <c r="O92" s="57">
        <f t="shared" si="55"/>
        <v>13987.283246451203</v>
      </c>
      <c r="P92" s="57">
        <f t="shared" si="55"/>
        <v>14406.901743844739</v>
      </c>
      <c r="Q92" s="57">
        <f t="shared" si="55"/>
        <v>14839.108796160082</v>
      </c>
      <c r="R92" s="57">
        <f t="shared" si="55"/>
        <v>15284.282060044885</v>
      </c>
      <c r="S92" s="57">
        <f t="shared" si="55"/>
        <v>15742.810521846231</v>
      </c>
      <c r="T92" s="57">
        <f t="shared" si="55"/>
        <v>16215.09483750162</v>
      </c>
    </row>
    <row r="93" spans="5:20" ht="18" customHeight="1" x14ac:dyDescent="0.4">
      <c r="E93" s="75"/>
      <c r="F93" s="58" t="s">
        <v>80</v>
      </c>
      <c r="H93" s="73">
        <v>100</v>
      </c>
      <c r="I93" s="66" t="s">
        <v>88</v>
      </c>
      <c r="K93" s="57">
        <f>+H93*12</f>
        <v>1200</v>
      </c>
      <c r="L93" s="57">
        <f t="shared" ref="L93:T93" si="56">+K93*(1+$H$27)</f>
        <v>1236</v>
      </c>
      <c r="M93" s="57">
        <f t="shared" si="56"/>
        <v>1273.08</v>
      </c>
      <c r="N93" s="57">
        <f t="shared" si="56"/>
        <v>1311.2724000000001</v>
      </c>
      <c r="O93" s="57">
        <f t="shared" si="56"/>
        <v>1350.610572</v>
      </c>
      <c r="P93" s="57">
        <f t="shared" si="56"/>
        <v>1391.12888916</v>
      </c>
      <c r="Q93" s="57">
        <f t="shared" si="56"/>
        <v>1432.8627558348001</v>
      </c>
      <c r="R93" s="57">
        <f t="shared" si="56"/>
        <v>1475.848638509844</v>
      </c>
      <c r="S93" s="57">
        <f t="shared" si="56"/>
        <v>1520.1240976651393</v>
      </c>
      <c r="T93" s="57">
        <f t="shared" si="56"/>
        <v>1565.7278205950936</v>
      </c>
    </row>
    <row r="94" spans="5:20" ht="18" customHeight="1" x14ac:dyDescent="0.4">
      <c r="E94" s="80">
        <v>5</v>
      </c>
      <c r="F94" s="64" t="s">
        <v>81</v>
      </c>
      <c r="H94" s="73">
        <v>2300</v>
      </c>
      <c r="I94" s="66" t="s">
        <v>88</v>
      </c>
      <c r="K94" s="65">
        <f>+$H94*$E94*12</f>
        <v>138000</v>
      </c>
      <c r="L94" s="65">
        <f t="shared" ref="L94:T94" si="57">+K94*(1+$H$27)</f>
        <v>142140</v>
      </c>
      <c r="M94" s="65">
        <f t="shared" si="57"/>
        <v>146404.20000000001</v>
      </c>
      <c r="N94" s="65">
        <f t="shared" si="57"/>
        <v>150796.32600000003</v>
      </c>
      <c r="O94" s="65">
        <f t="shared" si="57"/>
        <v>155320.21578000003</v>
      </c>
      <c r="P94" s="65">
        <f t="shared" si="57"/>
        <v>159979.82225340002</v>
      </c>
      <c r="Q94" s="65">
        <f t="shared" si="57"/>
        <v>164779.21692100202</v>
      </c>
      <c r="R94" s="65">
        <f t="shared" si="57"/>
        <v>169722.5934286321</v>
      </c>
      <c r="S94" s="65">
        <f t="shared" si="57"/>
        <v>174814.27123149106</v>
      </c>
      <c r="T94" s="65">
        <f t="shared" si="57"/>
        <v>180058.6993684358</v>
      </c>
    </row>
    <row r="95" spans="5:20" ht="18" customHeight="1" x14ac:dyDescent="0.4">
      <c r="E95" s="75"/>
      <c r="F95" s="64" t="s">
        <v>82</v>
      </c>
      <c r="H95" s="74"/>
      <c r="I95" s="66"/>
      <c r="K95" s="65">
        <f>+SUM(K96:K96)</f>
        <v>76363.636363636368</v>
      </c>
      <c r="L95" s="65">
        <f t="shared" ref="L95:T95" si="58">+K95*(1+$H$27)</f>
        <v>78654.545454545456</v>
      </c>
      <c r="M95" s="65">
        <f t="shared" si="58"/>
        <v>81014.181818181823</v>
      </c>
      <c r="N95" s="65">
        <f t="shared" si="58"/>
        <v>83444.607272727284</v>
      </c>
      <c r="O95" s="65">
        <f t="shared" si="58"/>
        <v>85947.9454909091</v>
      </c>
      <c r="P95" s="65">
        <f t="shared" si="58"/>
        <v>88526.383855636377</v>
      </c>
      <c r="Q95" s="65">
        <f t="shared" si="58"/>
        <v>91182.175371305464</v>
      </c>
      <c r="R95" s="65">
        <f t="shared" si="58"/>
        <v>93917.640632444629</v>
      </c>
      <c r="S95" s="65">
        <f t="shared" si="58"/>
        <v>96735.169851417973</v>
      </c>
      <c r="T95" s="65">
        <f t="shared" si="58"/>
        <v>99637.224946960516</v>
      </c>
    </row>
    <row r="96" spans="5:20" ht="18" customHeight="1" x14ac:dyDescent="0.4">
      <c r="E96" s="75"/>
      <c r="F96" s="58" t="s">
        <v>98</v>
      </c>
      <c r="H96" s="78">
        <v>0.68181818181818188</v>
      </c>
      <c r="I96" s="66" t="s">
        <v>109</v>
      </c>
      <c r="K96" s="57">
        <f>+$H96*K$49</f>
        <v>76363.636363636368</v>
      </c>
      <c r="L96" s="57">
        <f t="shared" ref="L96:T96" si="59">+K96*(1+$H$27)</f>
        <v>78654.545454545456</v>
      </c>
      <c r="M96" s="57">
        <f t="shared" si="59"/>
        <v>81014.181818181823</v>
      </c>
      <c r="N96" s="57">
        <f t="shared" si="59"/>
        <v>83444.607272727284</v>
      </c>
      <c r="O96" s="57">
        <f t="shared" si="59"/>
        <v>85947.9454909091</v>
      </c>
      <c r="P96" s="57">
        <f t="shared" si="59"/>
        <v>88526.383855636377</v>
      </c>
      <c r="Q96" s="57">
        <f t="shared" si="59"/>
        <v>91182.175371305464</v>
      </c>
      <c r="R96" s="57">
        <f t="shared" si="59"/>
        <v>93917.640632444629</v>
      </c>
      <c r="S96" s="57">
        <f t="shared" si="59"/>
        <v>96735.169851417973</v>
      </c>
      <c r="T96" s="57">
        <f t="shared" si="59"/>
        <v>99637.224946960516</v>
      </c>
    </row>
    <row r="97" spans="1:23" ht="18" customHeight="1" x14ac:dyDescent="0.4">
      <c r="E97" s="75"/>
      <c r="F97" s="64" t="s">
        <v>83</v>
      </c>
      <c r="H97" s="73">
        <v>4.5</v>
      </c>
      <c r="I97" s="66" t="s">
        <v>92</v>
      </c>
      <c r="K97" s="65">
        <f>+$H97*$H$62</f>
        <v>69904.800000000003</v>
      </c>
      <c r="L97" s="65">
        <f t="shared" ref="L97:T97" si="60">+K97*(1+$H$27)</f>
        <v>72001.944000000003</v>
      </c>
      <c r="M97" s="65">
        <f t="shared" si="60"/>
        <v>74162.00232</v>
      </c>
      <c r="N97" s="65">
        <f t="shared" si="60"/>
        <v>76386.862389600006</v>
      </c>
      <c r="O97" s="65">
        <f t="shared" si="60"/>
        <v>78678.468261288013</v>
      </c>
      <c r="P97" s="65">
        <f t="shared" si="60"/>
        <v>81038.822309126655</v>
      </c>
      <c r="Q97" s="65">
        <f t="shared" si="60"/>
        <v>83469.986978400455</v>
      </c>
      <c r="R97" s="65">
        <f t="shared" si="60"/>
        <v>85974.086587752477</v>
      </c>
      <c r="S97" s="65">
        <f t="shared" si="60"/>
        <v>88553.309185385049</v>
      </c>
      <c r="T97" s="65">
        <f t="shared" si="60"/>
        <v>91209.908460946608</v>
      </c>
    </row>
    <row r="98" spans="1:23" ht="18" customHeight="1" x14ac:dyDescent="0.4">
      <c r="B98" s="38" t="s">
        <v>108</v>
      </c>
      <c r="C98" s="39">
        <v>0.03</v>
      </c>
      <c r="E98" s="75"/>
      <c r="F98" s="64" t="s">
        <v>84</v>
      </c>
      <c r="H98" s="74"/>
      <c r="I98" s="66"/>
      <c r="K98" s="65">
        <f>+SUM(K99:K100)</f>
        <v>261636.39352714279</v>
      </c>
      <c r="L98" s="65">
        <f t="shared" ref="L98:T98" si="61">+K98*(1+$H$27)</f>
        <v>269485.48533295706</v>
      </c>
      <c r="M98" s="65">
        <f t="shared" si="61"/>
        <v>277570.0498929458</v>
      </c>
      <c r="N98" s="65">
        <f t="shared" si="61"/>
        <v>285897.15138973418</v>
      </c>
      <c r="O98" s="65">
        <f t="shared" si="61"/>
        <v>294474.06593142619</v>
      </c>
      <c r="P98" s="65">
        <f t="shared" si="61"/>
        <v>303308.28790936898</v>
      </c>
      <c r="Q98" s="65">
        <f t="shared" si="61"/>
        <v>312407.53654665005</v>
      </c>
      <c r="R98" s="65">
        <f t="shared" si="61"/>
        <v>321779.76264304959</v>
      </c>
      <c r="S98" s="65">
        <f t="shared" si="61"/>
        <v>331433.15552234108</v>
      </c>
      <c r="T98" s="65">
        <f t="shared" si="61"/>
        <v>341376.15018801135</v>
      </c>
    </row>
    <row r="99" spans="1:23" ht="18" customHeight="1" x14ac:dyDescent="0.4">
      <c r="B99" s="38" t="s">
        <v>106</v>
      </c>
      <c r="C99" s="39">
        <v>0.21</v>
      </c>
      <c r="E99" s="75"/>
      <c r="F99" s="58" t="s">
        <v>106</v>
      </c>
      <c r="H99" s="79">
        <v>1.4999999999999999E-2</v>
      </c>
      <c r="I99" s="66" t="s">
        <v>94</v>
      </c>
      <c r="K99" s="57">
        <f>+(K$48+K$49*$C$100)*C99*H99</f>
        <v>7035.0374699999975</v>
      </c>
      <c r="L99" s="57">
        <f t="shared" ref="L99:T99" si="62">+K99*(1+$H$27)</f>
        <v>7246.0885940999979</v>
      </c>
      <c r="M99" s="57">
        <f t="shared" si="62"/>
        <v>7463.4712519229979</v>
      </c>
      <c r="N99" s="57">
        <f t="shared" si="62"/>
        <v>7687.3753894806878</v>
      </c>
      <c r="O99" s="57">
        <f t="shared" si="62"/>
        <v>7917.9966511651082</v>
      </c>
      <c r="P99" s="57">
        <f t="shared" si="62"/>
        <v>8155.5365507000615</v>
      </c>
      <c r="Q99" s="57">
        <f t="shared" si="62"/>
        <v>8400.2026472210637</v>
      </c>
      <c r="R99" s="57">
        <f t="shared" si="62"/>
        <v>8652.2087266376966</v>
      </c>
      <c r="S99" s="57">
        <f t="shared" si="62"/>
        <v>8911.7749884368277</v>
      </c>
      <c r="T99" s="57">
        <f t="shared" si="62"/>
        <v>9179.128238089932</v>
      </c>
    </row>
    <row r="100" spans="1:23" ht="18" customHeight="1" x14ac:dyDescent="0.4">
      <c r="B100" s="38" t="s">
        <v>107</v>
      </c>
      <c r="C100" s="39">
        <f>100%-SUM(C98:C99)</f>
        <v>0.76</v>
      </c>
      <c r="E100" s="75"/>
      <c r="F100" s="58" t="s">
        <v>107</v>
      </c>
      <c r="H100" s="79">
        <v>0.15</v>
      </c>
      <c r="I100" s="66" t="s">
        <v>95</v>
      </c>
      <c r="K100" s="57">
        <f>+(K$48+K$49*$C$100)*C100*H100</f>
        <v>254601.35605714278</v>
      </c>
      <c r="L100" s="57">
        <f t="shared" ref="L100:T100" si="63">+K100*(1+$H$27)</f>
        <v>262239.39673885709</v>
      </c>
      <c r="M100" s="57">
        <f t="shared" si="63"/>
        <v>270106.57864102279</v>
      </c>
      <c r="N100" s="57">
        <f t="shared" si="63"/>
        <v>278209.77600025351</v>
      </c>
      <c r="O100" s="57">
        <f t="shared" si="63"/>
        <v>286556.06928026112</v>
      </c>
      <c r="P100" s="57">
        <f t="shared" si="63"/>
        <v>295152.75135866896</v>
      </c>
      <c r="Q100" s="57">
        <f t="shared" si="63"/>
        <v>304007.33389942901</v>
      </c>
      <c r="R100" s="57">
        <f t="shared" si="63"/>
        <v>313127.55391641188</v>
      </c>
      <c r="S100" s="57">
        <f t="shared" si="63"/>
        <v>322521.38053390424</v>
      </c>
      <c r="T100" s="57">
        <f t="shared" si="63"/>
        <v>332197.02194992139</v>
      </c>
    </row>
    <row r="101" spans="1:23" ht="18" customHeight="1" x14ac:dyDescent="0.4">
      <c r="E101" s="75"/>
      <c r="F101" s="64" t="s">
        <v>85</v>
      </c>
      <c r="H101" s="74"/>
      <c r="I101" s="66"/>
      <c r="K101" s="65">
        <f>+SUM(K102:K103)</f>
        <v>29971.527971428561</v>
      </c>
      <c r="L101" s="65">
        <f t="shared" ref="L101:T101" si="64">+K101*(1+$H$27)</f>
        <v>30870.673810571418</v>
      </c>
      <c r="M101" s="65">
        <f t="shared" si="64"/>
        <v>31796.794024888561</v>
      </c>
      <c r="N101" s="65">
        <f t="shared" si="64"/>
        <v>32750.697845635219</v>
      </c>
      <c r="O101" s="65">
        <f t="shared" si="64"/>
        <v>33733.218781004274</v>
      </c>
      <c r="P101" s="65">
        <f t="shared" si="64"/>
        <v>34745.2153444344</v>
      </c>
      <c r="Q101" s="65">
        <f t="shared" si="64"/>
        <v>35787.571804767431</v>
      </c>
      <c r="R101" s="65">
        <f t="shared" si="64"/>
        <v>36861.198958910456</v>
      </c>
      <c r="S101" s="65">
        <f t="shared" si="64"/>
        <v>37967.034927677771</v>
      </c>
      <c r="T101" s="65">
        <f t="shared" si="64"/>
        <v>39106.045975508103</v>
      </c>
    </row>
    <row r="102" spans="1:23" ht="18" customHeight="1" x14ac:dyDescent="0.4">
      <c r="E102" s="75"/>
      <c r="F102" s="58" t="s">
        <v>86</v>
      </c>
      <c r="H102" s="73">
        <v>41.25</v>
      </c>
      <c r="I102" s="66" t="s">
        <v>88</v>
      </c>
      <c r="K102" s="57">
        <f>+H102*12</f>
        <v>495</v>
      </c>
      <c r="L102" s="57">
        <f t="shared" ref="L102:T102" si="65">+K102*(1+$H$27)</f>
        <v>509.85</v>
      </c>
      <c r="M102" s="57">
        <f t="shared" si="65"/>
        <v>525.14550000000008</v>
      </c>
      <c r="N102" s="57">
        <f t="shared" si="65"/>
        <v>540.89986500000009</v>
      </c>
      <c r="O102" s="57">
        <f t="shared" si="65"/>
        <v>557.12686095000015</v>
      </c>
      <c r="P102" s="57">
        <f t="shared" si="65"/>
        <v>573.84066677850012</v>
      </c>
      <c r="Q102" s="57">
        <f t="shared" si="65"/>
        <v>591.05588678185518</v>
      </c>
      <c r="R102" s="57">
        <f t="shared" si="65"/>
        <v>608.78756338531082</v>
      </c>
      <c r="S102" s="57">
        <f t="shared" si="65"/>
        <v>627.05119028687011</v>
      </c>
      <c r="T102" s="57">
        <f t="shared" si="65"/>
        <v>645.86272599547624</v>
      </c>
    </row>
    <row r="103" spans="1:23" ht="18" customHeight="1" x14ac:dyDescent="0.4">
      <c r="E103" s="75"/>
      <c r="F103" s="58" t="s">
        <v>87</v>
      </c>
      <c r="H103" s="82">
        <v>1.2999999999999999E-2</v>
      </c>
      <c r="I103" s="66" t="s">
        <v>90</v>
      </c>
      <c r="K103" s="57">
        <f>+$H103*K$47</f>
        <v>29476.527971428561</v>
      </c>
      <c r="L103" s="57">
        <f t="shared" ref="L103:T103" si="66">+K103*(1+$H$27)</f>
        <v>30360.823810571419</v>
      </c>
      <c r="M103" s="57">
        <f t="shared" si="66"/>
        <v>31271.648524888562</v>
      </c>
      <c r="N103" s="57">
        <f t="shared" si="66"/>
        <v>32209.79798063522</v>
      </c>
      <c r="O103" s="57">
        <f t="shared" si="66"/>
        <v>33176.091920054278</v>
      </c>
      <c r="P103" s="57">
        <f t="shared" si="66"/>
        <v>34171.374677655906</v>
      </c>
      <c r="Q103" s="57">
        <f t="shared" si="66"/>
        <v>35196.515917985584</v>
      </c>
      <c r="R103" s="57">
        <f t="shared" si="66"/>
        <v>36252.411395525152</v>
      </c>
      <c r="S103" s="57">
        <f t="shared" si="66"/>
        <v>37339.98373739091</v>
      </c>
      <c r="T103" s="57">
        <f t="shared" si="66"/>
        <v>38460.183249512636</v>
      </c>
    </row>
    <row r="104" spans="1:23" x14ac:dyDescent="0.4">
      <c r="K104" s="52"/>
      <c r="L104" s="52"/>
      <c r="M104" s="52"/>
      <c r="N104" s="52"/>
      <c r="O104" s="52"/>
      <c r="P104" s="52"/>
      <c r="Q104" s="52"/>
      <c r="R104" s="52"/>
      <c r="S104" s="52"/>
      <c r="T104" s="52"/>
    </row>
    <row r="105" spans="1:23" s="91" customFormat="1" ht="18.5" x14ac:dyDescent="0.5">
      <c r="A105" s="88"/>
      <c r="B105" s="88"/>
      <c r="C105" s="88"/>
      <c r="D105" s="88"/>
      <c r="E105" s="90"/>
      <c r="F105" s="59" t="s">
        <v>41</v>
      </c>
      <c r="K105" s="95">
        <f t="shared" ref="K105:T105" si="67">+K47-K55-K64</f>
        <v>595144.44496636302</v>
      </c>
      <c r="L105" s="95">
        <f t="shared" si="67"/>
        <v>352652.59688678314</v>
      </c>
      <c r="M105" s="95">
        <f t="shared" si="67"/>
        <v>383333.08673338639</v>
      </c>
      <c r="N105" s="95">
        <f t="shared" si="67"/>
        <v>394536.62932471302</v>
      </c>
      <c r="O105" s="95">
        <f t="shared" si="67"/>
        <v>439662.3872134767</v>
      </c>
      <c r="P105" s="95">
        <f t="shared" si="67"/>
        <v>627771.07939826464</v>
      </c>
      <c r="Q105" s="95">
        <f t="shared" si="67"/>
        <v>691509.12281757873</v>
      </c>
      <c r="R105" s="95">
        <f t="shared" si="67"/>
        <v>748164.71480323886</v>
      </c>
      <c r="S105" s="95">
        <f t="shared" si="67"/>
        <v>814159.66599649959</v>
      </c>
      <c r="T105" s="95">
        <f t="shared" si="67"/>
        <v>884311.96621301468</v>
      </c>
      <c r="W105" s="98">
        <f>+SUM(K105:T105)</f>
        <v>5931245.6943533188</v>
      </c>
    </row>
    <row r="107" spans="1:23" s="91" customFormat="1" ht="18.5" x14ac:dyDescent="0.5">
      <c r="A107" s="88"/>
      <c r="B107" s="88"/>
      <c r="C107" s="88"/>
      <c r="D107" s="88"/>
      <c r="E107" s="90"/>
      <c r="F107" s="59" t="s">
        <v>51</v>
      </c>
      <c r="K107" s="95">
        <f>+K105-K16</f>
        <v>231644.44496636302</v>
      </c>
      <c r="L107" s="95">
        <f>+L105</f>
        <v>352652.59688678314</v>
      </c>
      <c r="M107" s="95">
        <f t="shared" ref="M107:T107" si="68">+M105</f>
        <v>383333.08673338639</v>
      </c>
      <c r="N107" s="95">
        <f t="shared" si="68"/>
        <v>394536.62932471302</v>
      </c>
      <c r="O107" s="95">
        <f t="shared" si="68"/>
        <v>439662.3872134767</v>
      </c>
      <c r="P107" s="95">
        <f t="shared" si="68"/>
        <v>627771.07939826464</v>
      </c>
      <c r="Q107" s="95">
        <f t="shared" si="68"/>
        <v>691509.12281757873</v>
      </c>
      <c r="R107" s="95">
        <f t="shared" si="68"/>
        <v>748164.71480323886</v>
      </c>
      <c r="S107" s="95">
        <f t="shared" si="68"/>
        <v>814159.66599649959</v>
      </c>
      <c r="T107" s="95">
        <f t="shared" si="68"/>
        <v>884311.96621301468</v>
      </c>
      <c r="W107" s="98">
        <f>+SUM(K107:T107)</f>
        <v>5567745.6943533188</v>
      </c>
    </row>
    <row r="109" spans="1:23" x14ac:dyDescent="0.4">
      <c r="B109" s="114" t="s">
        <v>118</v>
      </c>
      <c r="C109" s="39">
        <v>0.01</v>
      </c>
      <c r="F109" s="58" t="s">
        <v>118</v>
      </c>
      <c r="K109" s="125">
        <v>0</v>
      </c>
      <c r="L109" s="126">
        <f t="shared" ref="L109:T109" si="69">+L47*$C$109</f>
        <v>24995.142000000003</v>
      </c>
      <c r="M109" s="126">
        <f t="shared" si="69"/>
        <v>26938.178001</v>
      </c>
      <c r="N109" s="126">
        <f t="shared" si="69"/>
        <v>28211.575431374997</v>
      </c>
      <c r="O109" s="126">
        <f t="shared" si="69"/>
        <v>29622.154202943744</v>
      </c>
      <c r="P109" s="126">
        <f t="shared" si="69"/>
        <v>31103.261913090941</v>
      </c>
      <c r="Q109" s="126">
        <f t="shared" si="69"/>
        <v>32743.523723828024</v>
      </c>
      <c r="R109" s="126">
        <f t="shared" si="69"/>
        <v>34291.346259182756</v>
      </c>
      <c r="S109" s="126">
        <f t="shared" si="69"/>
        <v>36005.913572141908</v>
      </c>
      <c r="T109" s="126">
        <f t="shared" si="69"/>
        <v>37806.209250749009</v>
      </c>
    </row>
    <row r="111" spans="1:23" ht="18.5" x14ac:dyDescent="0.5">
      <c r="F111" s="59" t="s">
        <v>119</v>
      </c>
      <c r="G111" s="91"/>
      <c r="H111" s="91"/>
      <c r="I111" s="91"/>
      <c r="J111" s="91"/>
      <c r="K111" s="95">
        <f>+K107-K109</f>
        <v>231644.44496636302</v>
      </c>
      <c r="L111" s="95">
        <f t="shared" ref="L111:T111" si="70">+L107-L109</f>
        <v>327657.45488678315</v>
      </c>
      <c r="M111" s="95">
        <f t="shared" si="70"/>
        <v>356394.90873238636</v>
      </c>
      <c r="N111" s="95">
        <f t="shared" si="70"/>
        <v>366325.05389333802</v>
      </c>
      <c r="O111" s="95">
        <f t="shared" si="70"/>
        <v>410040.23301053297</v>
      </c>
      <c r="P111" s="95">
        <f t="shared" si="70"/>
        <v>596667.8174851737</v>
      </c>
      <c r="Q111" s="95">
        <f t="shared" si="70"/>
        <v>658765.5990937507</v>
      </c>
      <c r="R111" s="95">
        <f t="shared" si="70"/>
        <v>713873.36854405608</v>
      </c>
      <c r="S111" s="95">
        <f t="shared" si="70"/>
        <v>778153.75242435769</v>
      </c>
      <c r="T111" s="95">
        <f t="shared" si="70"/>
        <v>846505.7569622657</v>
      </c>
    </row>
    <row r="112" spans="1:23" s="53" customFormat="1" x14ac:dyDescent="0.4">
      <c r="A112" s="36"/>
      <c r="B112" s="36"/>
      <c r="C112" s="36"/>
      <c r="D112" s="36"/>
      <c r="E112" s="72"/>
      <c r="W112" s="72"/>
    </row>
    <row r="114" spans="3:20" x14ac:dyDescent="0.4">
      <c r="F114" s="58" t="s">
        <v>112</v>
      </c>
      <c r="K114" s="126">
        <f t="shared" ref="K114:T114" si="71">+K49/(14.9/1.1)</f>
        <v>8268.4563758389268</v>
      </c>
      <c r="L114" s="126">
        <f t="shared" si="71"/>
        <v>8681.879194630872</v>
      </c>
      <c r="M114" s="126">
        <f t="shared" si="71"/>
        <v>9115.9731543624166</v>
      </c>
      <c r="N114" s="126">
        <f t="shared" si="71"/>
        <v>9571.7718120805366</v>
      </c>
      <c r="O114" s="126">
        <f t="shared" si="71"/>
        <v>10050.360402684564</v>
      </c>
      <c r="P114" s="126">
        <f t="shared" si="71"/>
        <v>10552.878422818794</v>
      </c>
      <c r="Q114" s="126">
        <f t="shared" si="71"/>
        <v>11080.522343959736</v>
      </c>
      <c r="R114" s="126">
        <f t="shared" si="71"/>
        <v>11634.548461157721</v>
      </c>
      <c r="S114" s="126">
        <f t="shared" si="71"/>
        <v>12216.275884215609</v>
      </c>
      <c r="T114" s="126">
        <f t="shared" si="71"/>
        <v>12827.08967842639</v>
      </c>
    </row>
    <row r="115" spans="3:20" x14ac:dyDescent="0.4">
      <c r="F115" s="58" t="s">
        <v>113</v>
      </c>
    </row>
    <row r="120" spans="3:20" x14ac:dyDescent="0.4">
      <c r="C120" s="113" t="s">
        <v>115</v>
      </c>
      <c r="H120" s="132" t="s">
        <v>35</v>
      </c>
      <c r="I120" s="134" t="s">
        <v>125</v>
      </c>
      <c r="J120" s="138"/>
      <c r="K120" s="134" t="s">
        <v>124</v>
      </c>
    </row>
    <row r="121" spans="3:20" x14ac:dyDescent="0.4">
      <c r="C121" s="113"/>
      <c r="H121" s="132"/>
      <c r="I121" s="134"/>
      <c r="J121" s="138"/>
      <c r="K121" s="134"/>
    </row>
    <row r="122" spans="3:20" x14ac:dyDescent="0.4">
      <c r="C122" s="62">
        <v>80000</v>
      </c>
      <c r="F122" s="58" t="s">
        <v>117</v>
      </c>
      <c r="H122" s="139">
        <v>1</v>
      </c>
      <c r="I122" s="57">
        <f t="shared" ref="I122" si="72">+C122</f>
        <v>80000</v>
      </c>
      <c r="K122" s="57">
        <f t="shared" ref="K122" si="73">+C122*H122</f>
        <v>80000</v>
      </c>
    </row>
    <row r="123" spans="3:20" x14ac:dyDescent="0.4">
      <c r="C123" s="127"/>
      <c r="F123" s="58"/>
      <c r="H123" s="66"/>
      <c r="I123" s="57"/>
      <c r="K123" s="57"/>
    </row>
    <row r="124" spans="3:20" ht="18.5" x14ac:dyDescent="0.5">
      <c r="C124" s="127"/>
      <c r="F124" s="59" t="s">
        <v>126</v>
      </c>
      <c r="G124" s="135"/>
      <c r="H124" s="136"/>
      <c r="I124" s="136"/>
      <c r="J124" s="135"/>
      <c r="K124" s="137">
        <f>+SUM(K122:K122)</f>
        <v>80000</v>
      </c>
    </row>
    <row r="129" spans="1:23" ht="21.75" customHeight="1" x14ac:dyDescent="0.5">
      <c r="F129" s="124" t="s">
        <v>123</v>
      </c>
      <c r="K129" s="116">
        <v>2026</v>
      </c>
      <c r="L129" s="116">
        <v>2027</v>
      </c>
      <c r="M129" s="116">
        <v>2028</v>
      </c>
      <c r="N129" s="116">
        <v>2029</v>
      </c>
      <c r="O129" s="116">
        <v>2030</v>
      </c>
      <c r="P129" s="116">
        <v>2031</v>
      </c>
      <c r="Q129" s="116">
        <v>2032</v>
      </c>
      <c r="R129" s="116">
        <v>2033</v>
      </c>
      <c r="S129" s="116">
        <v>2034</v>
      </c>
      <c r="T129" s="116">
        <v>2035</v>
      </c>
    </row>
    <row r="131" spans="1:23" s="91" customFormat="1" ht="18.5" x14ac:dyDescent="0.5">
      <c r="A131" s="88"/>
      <c r="B131" s="88"/>
      <c r="C131" s="88"/>
      <c r="D131" s="88"/>
      <c r="E131" s="90"/>
      <c r="F131" s="59" t="s">
        <v>37</v>
      </c>
      <c r="K131" s="119">
        <f>+K132</f>
        <v>600000</v>
      </c>
      <c r="L131" s="119">
        <f t="shared" ref="L131:T131" si="74">+L132</f>
        <v>630000</v>
      </c>
      <c r="M131" s="119">
        <f t="shared" si="74"/>
        <v>661500</v>
      </c>
      <c r="N131" s="119">
        <f t="shared" si="74"/>
        <v>694575</v>
      </c>
      <c r="O131" s="119">
        <f t="shared" si="74"/>
        <v>729303.75</v>
      </c>
      <c r="P131" s="119">
        <f t="shared" si="74"/>
        <v>765768.9375</v>
      </c>
      <c r="Q131" s="119">
        <f t="shared" si="74"/>
        <v>804057.38437500002</v>
      </c>
      <c r="R131" s="119">
        <f t="shared" si="74"/>
        <v>844260.25359375007</v>
      </c>
      <c r="S131" s="119">
        <f t="shared" si="74"/>
        <v>886473.26627343765</v>
      </c>
      <c r="T131" s="119">
        <f t="shared" si="74"/>
        <v>930796.9295871096</v>
      </c>
      <c r="U131" s="121"/>
      <c r="V131" s="122"/>
      <c r="W131" s="98">
        <v>32323593.742906321</v>
      </c>
    </row>
    <row r="132" spans="1:23" ht="18" customHeight="1" x14ac:dyDescent="0.4">
      <c r="F132" s="58" t="s">
        <v>100</v>
      </c>
      <c r="H132" s="61">
        <v>50000</v>
      </c>
      <c r="I132" s="66"/>
      <c r="K132" s="120">
        <f>+H132*12</f>
        <v>600000</v>
      </c>
      <c r="L132" s="120">
        <f>+K132*(1+SUM($H$27:$H$28))</f>
        <v>630000</v>
      </c>
      <c r="M132" s="120">
        <f t="shared" ref="M132" si="75">+L132*(1+SUM($H$27:$H$28))</f>
        <v>661500</v>
      </c>
      <c r="N132" s="120">
        <f t="shared" ref="N132" si="76">+M132*(1+SUM($H$27:$H$28))</f>
        <v>694575</v>
      </c>
      <c r="O132" s="120">
        <f t="shared" ref="O132" si="77">+N132*(1+SUM($H$27:$H$28))</f>
        <v>729303.75</v>
      </c>
      <c r="P132" s="120">
        <f t="shared" ref="P132" si="78">+O132*(1+SUM($H$27:$H$28))</f>
        <v>765768.9375</v>
      </c>
      <c r="Q132" s="120">
        <f t="shared" ref="Q132" si="79">+P132*(1+SUM($H$27:$H$28))</f>
        <v>804057.38437500002</v>
      </c>
      <c r="R132" s="120">
        <f t="shared" ref="R132" si="80">+Q132*(1+SUM($H$27:$H$28))</f>
        <v>844260.25359375007</v>
      </c>
      <c r="S132" s="120">
        <f t="shared" ref="S132" si="81">+R132*(1+SUM($H$27:$H$28))</f>
        <v>886473.26627343765</v>
      </c>
      <c r="T132" s="120">
        <f t="shared" ref="T132" si="82">+S132*(1+SUM($H$27:$H$28))</f>
        <v>930796.9295871096</v>
      </c>
      <c r="U132" s="117"/>
      <c r="V132" s="123"/>
    </row>
    <row r="133" spans="1:23" ht="18" customHeight="1" x14ac:dyDescent="0.4">
      <c r="F133" s="58"/>
      <c r="H133" s="66"/>
      <c r="I133" s="66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17"/>
      <c r="V133" s="123"/>
    </row>
    <row r="134" spans="1:23" ht="18" customHeight="1" x14ac:dyDescent="0.4">
      <c r="F134" s="100" t="s">
        <v>114</v>
      </c>
      <c r="G134" s="103"/>
      <c r="H134" s="102">
        <f>+K124/(K137/12)</f>
        <v>11.940298507462687</v>
      </c>
      <c r="I134" s="91"/>
      <c r="J134" s="91"/>
      <c r="K134" s="110">
        <f>-(H138)*H134</f>
        <v>-80000</v>
      </c>
      <c r="L134" s="110"/>
      <c r="M134" s="110"/>
      <c r="N134" s="110"/>
      <c r="O134" s="110"/>
      <c r="P134" s="110"/>
      <c r="Q134" s="110"/>
      <c r="R134" s="110"/>
      <c r="S134" s="110"/>
      <c r="T134" s="110"/>
      <c r="U134" s="117"/>
      <c r="V134" s="123"/>
    </row>
    <row r="135" spans="1:23" ht="18" customHeight="1" x14ac:dyDescent="0.4">
      <c r="F135" s="58"/>
      <c r="H135" s="66"/>
      <c r="I135" s="66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17"/>
      <c r="V135" s="123"/>
    </row>
    <row r="136" spans="1:23" ht="18.5" x14ac:dyDescent="0.5">
      <c r="F136" s="59" t="s">
        <v>39</v>
      </c>
      <c r="G136" s="91"/>
      <c r="H136" s="91"/>
      <c r="I136" s="91"/>
      <c r="J136" s="91"/>
      <c r="K136" s="106">
        <f>+K137+K134</f>
        <v>400</v>
      </c>
      <c r="L136" s="106">
        <f t="shared" ref="L136:U136" si="83">+L137+L134</f>
        <v>82812</v>
      </c>
      <c r="M136" s="106">
        <f t="shared" si="83"/>
        <v>85296.36</v>
      </c>
      <c r="N136" s="106">
        <f t="shared" si="83"/>
        <v>87855.250800000009</v>
      </c>
      <c r="O136" s="106">
        <f t="shared" si="83"/>
        <v>90490.908324000018</v>
      </c>
      <c r="P136" s="106">
        <f t="shared" si="83"/>
        <v>93205.635573720021</v>
      </c>
      <c r="Q136" s="106">
        <f t="shared" si="83"/>
        <v>96001.80464093163</v>
      </c>
      <c r="R136" s="106">
        <f t="shared" si="83"/>
        <v>98881.858780159586</v>
      </c>
      <c r="S136" s="106">
        <f t="shared" si="83"/>
        <v>101848.31454356438</v>
      </c>
      <c r="T136" s="106">
        <f t="shared" si="83"/>
        <v>104903.76397987132</v>
      </c>
      <c r="U136" s="106">
        <f t="shared" si="83"/>
        <v>0</v>
      </c>
    </row>
    <row r="137" spans="1:23" ht="18" hidden="1" customHeight="1" x14ac:dyDescent="0.5">
      <c r="F137" s="59" t="s">
        <v>39</v>
      </c>
      <c r="G137" s="91"/>
      <c r="H137" s="91"/>
      <c r="I137" s="91"/>
      <c r="J137" s="91"/>
      <c r="K137" s="106">
        <f>+K138</f>
        <v>80400</v>
      </c>
      <c r="L137" s="106">
        <f t="shared" ref="L137:T137" si="84">+IF(L132&lt;0,MIN(L138:L140),MAX(L138:L140))</f>
        <v>82812</v>
      </c>
      <c r="M137" s="106">
        <f t="shared" si="84"/>
        <v>85296.36</v>
      </c>
      <c r="N137" s="106">
        <f t="shared" si="84"/>
        <v>87855.250800000009</v>
      </c>
      <c r="O137" s="106">
        <f t="shared" si="84"/>
        <v>90490.908324000018</v>
      </c>
      <c r="P137" s="106">
        <f t="shared" si="84"/>
        <v>93205.635573720021</v>
      </c>
      <c r="Q137" s="106">
        <f t="shared" si="84"/>
        <v>96001.80464093163</v>
      </c>
      <c r="R137" s="106">
        <f t="shared" si="84"/>
        <v>98881.858780159586</v>
      </c>
      <c r="S137" s="106">
        <f t="shared" si="84"/>
        <v>101848.31454356438</v>
      </c>
      <c r="T137" s="106">
        <f t="shared" si="84"/>
        <v>104903.76397987132</v>
      </c>
      <c r="U137" s="117"/>
      <c r="V137" s="123"/>
    </row>
    <row r="138" spans="1:23" ht="18" customHeight="1" x14ac:dyDescent="0.4">
      <c r="F138" s="58" t="s">
        <v>97</v>
      </c>
      <c r="H138" s="73">
        <v>6700</v>
      </c>
      <c r="I138" s="66"/>
      <c r="K138" s="118">
        <f>+$H138*12</f>
        <v>80400</v>
      </c>
      <c r="L138" s="118">
        <f t="shared" ref="L138" si="85">+K138*(1+$H$27)</f>
        <v>82812</v>
      </c>
      <c r="M138" s="118">
        <f t="shared" ref="M138" si="86">+L138*(1+$H$27)</f>
        <v>85296.36</v>
      </c>
      <c r="N138" s="118">
        <f t="shared" ref="N138" si="87">+M138*(1+$H$27)</f>
        <v>87855.250800000009</v>
      </c>
      <c r="O138" s="118">
        <f t="shared" ref="O138" si="88">+N138*(1+$H$27)</f>
        <v>90490.908324000018</v>
      </c>
      <c r="P138" s="118">
        <f t="shared" ref="P138" si="89">+O138*(1+$H$27)</f>
        <v>93205.635573720021</v>
      </c>
      <c r="Q138" s="118">
        <f t="shared" ref="Q138" si="90">+P138*(1+$H$27)</f>
        <v>96001.80464093163</v>
      </c>
      <c r="R138" s="118">
        <f t="shared" ref="R138" si="91">+Q138*(1+$H$27)</f>
        <v>98881.858780159586</v>
      </c>
      <c r="S138" s="118">
        <f t="shared" ref="S138" si="92">+R138*(1+$H$27)</f>
        <v>101848.31454356438</v>
      </c>
      <c r="T138" s="118">
        <f t="shared" ref="T138" si="93">+S138*(1+$H$27)</f>
        <v>104903.76397987132</v>
      </c>
      <c r="U138" s="117"/>
      <c r="V138" s="123"/>
    </row>
    <row r="139" spans="1:23" ht="18" customHeight="1" x14ac:dyDescent="0.4">
      <c r="F139" s="58"/>
      <c r="H139" s="66"/>
      <c r="I139" s="66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17"/>
      <c r="V139" s="123"/>
    </row>
    <row r="140" spans="1:23" ht="18" customHeight="1" x14ac:dyDescent="0.4">
      <c r="U140" s="117"/>
      <c r="V140" s="123"/>
    </row>
    <row r="141" spans="1:23" ht="18" customHeight="1" x14ac:dyDescent="0.4">
      <c r="F141" s="58"/>
      <c r="H141" s="66"/>
      <c r="I141" s="66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17"/>
      <c r="V141" s="123"/>
    </row>
    <row r="142" spans="1:23" ht="18" customHeight="1" x14ac:dyDescent="0.4">
      <c r="F142" s="58"/>
      <c r="H142" s="66"/>
      <c r="I142" s="66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17"/>
      <c r="V142" s="123"/>
    </row>
    <row r="143" spans="1:23" x14ac:dyDescent="0.4"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23"/>
    </row>
    <row r="144" spans="1:23" x14ac:dyDescent="0.4"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23"/>
    </row>
    <row r="145" spans="1:23" ht="18.5" x14ac:dyDescent="0.5">
      <c r="F145" s="59" t="s">
        <v>38</v>
      </c>
      <c r="K145" s="119">
        <f>+SUM(K146:K148)</f>
        <v>298800</v>
      </c>
      <c r="L145" s="119">
        <f t="shared" ref="L145:T145" si="94">+K145*(1+$H$27)</f>
        <v>307764</v>
      </c>
      <c r="M145" s="119">
        <f t="shared" si="94"/>
        <v>316996.92</v>
      </c>
      <c r="N145" s="119">
        <f t="shared" si="94"/>
        <v>326506.82760000002</v>
      </c>
      <c r="O145" s="119">
        <f t="shared" si="94"/>
        <v>336302.03242800001</v>
      </c>
      <c r="P145" s="119">
        <f t="shared" si="94"/>
        <v>346391.09340084001</v>
      </c>
      <c r="Q145" s="119">
        <f t="shared" si="94"/>
        <v>356782.82620286522</v>
      </c>
      <c r="R145" s="119">
        <f t="shared" si="94"/>
        <v>367486.31098895118</v>
      </c>
      <c r="S145" s="119">
        <f t="shared" si="94"/>
        <v>378510.90031861974</v>
      </c>
      <c r="T145" s="119">
        <f t="shared" si="94"/>
        <v>389866.22732817836</v>
      </c>
      <c r="U145" s="117"/>
      <c r="V145" s="123"/>
    </row>
    <row r="146" spans="1:23" ht="18" customHeight="1" x14ac:dyDescent="0.4">
      <c r="E146" s="75"/>
      <c r="F146" s="58" t="s">
        <v>97</v>
      </c>
      <c r="H146" s="73">
        <v>3000</v>
      </c>
      <c r="I146" s="66" t="s">
        <v>88</v>
      </c>
      <c r="K146" s="118">
        <f>+$H146*12</f>
        <v>36000</v>
      </c>
      <c r="L146" s="118">
        <f t="shared" ref="L146:L147" si="95">+K146*(1+$H$27)</f>
        <v>37080</v>
      </c>
      <c r="M146" s="118">
        <f t="shared" ref="M146:M147" si="96">+L146*(1+$H$27)</f>
        <v>38192.400000000001</v>
      </c>
      <c r="N146" s="118">
        <f t="shared" ref="N146:N147" si="97">+M146*(1+$H$27)</f>
        <v>39338.172000000006</v>
      </c>
      <c r="O146" s="118">
        <f t="shared" ref="O146:O147" si="98">+N146*(1+$H$27)</f>
        <v>40518.317160000006</v>
      </c>
      <c r="P146" s="118">
        <f t="shared" ref="P146:P147" si="99">+O146*(1+$H$27)</f>
        <v>41733.866674800011</v>
      </c>
      <c r="Q146" s="118">
        <f t="shared" ref="Q146:Q147" si="100">+P146*(1+$H$27)</f>
        <v>42985.882675044013</v>
      </c>
      <c r="R146" s="118">
        <f t="shared" ref="R146:R147" si="101">+Q146*(1+$H$27)</f>
        <v>44275.459155295335</v>
      </c>
      <c r="S146" s="118">
        <f t="shared" ref="S146:S147" si="102">+R146*(1+$H$27)</f>
        <v>45603.722929954194</v>
      </c>
      <c r="T146" s="118">
        <f t="shared" ref="T146:T147" si="103">+S146*(1+$H$27)</f>
        <v>46971.834617852823</v>
      </c>
      <c r="U146" s="117"/>
      <c r="V146" s="123"/>
    </row>
    <row r="147" spans="1:23" ht="18" customHeight="1" x14ac:dyDescent="0.4">
      <c r="E147" s="80">
        <v>2</v>
      </c>
      <c r="F147" s="58" t="s">
        <v>103</v>
      </c>
      <c r="H147" s="73">
        <v>2200</v>
      </c>
      <c r="I147" s="66" t="s">
        <v>88</v>
      </c>
      <c r="K147" s="118">
        <f>+$H147*$E147*12</f>
        <v>52800</v>
      </c>
      <c r="L147" s="118">
        <f t="shared" si="95"/>
        <v>54384</v>
      </c>
      <c r="M147" s="118">
        <f t="shared" si="96"/>
        <v>56015.520000000004</v>
      </c>
      <c r="N147" s="118">
        <f t="shared" si="97"/>
        <v>57695.985600000007</v>
      </c>
      <c r="O147" s="118">
        <f t="shared" si="98"/>
        <v>59426.865168000011</v>
      </c>
      <c r="P147" s="118">
        <f t="shared" si="99"/>
        <v>61209.671123040011</v>
      </c>
      <c r="Q147" s="118">
        <f t="shared" si="100"/>
        <v>63045.961256731214</v>
      </c>
      <c r="R147" s="118">
        <f t="shared" si="101"/>
        <v>64937.340094433152</v>
      </c>
      <c r="S147" s="118">
        <f t="shared" si="102"/>
        <v>66885.460297266152</v>
      </c>
      <c r="T147" s="118">
        <f t="shared" si="103"/>
        <v>68892.024106184137</v>
      </c>
      <c r="U147" s="117"/>
      <c r="V147" s="123"/>
    </row>
    <row r="148" spans="1:23" ht="18" customHeight="1" x14ac:dyDescent="0.4">
      <c r="E148" s="75"/>
      <c r="F148" s="58" t="s">
        <v>104</v>
      </c>
      <c r="H148" s="76">
        <v>0.35</v>
      </c>
      <c r="I148" s="66" t="s">
        <v>105</v>
      </c>
      <c r="K148" s="118">
        <f>+$H148*K131</f>
        <v>210000</v>
      </c>
      <c r="L148" s="118">
        <f t="shared" ref="L148:T148" si="104">+$H148*L131</f>
        <v>220500</v>
      </c>
      <c r="M148" s="118">
        <f t="shared" si="104"/>
        <v>231524.99999999997</v>
      </c>
      <c r="N148" s="118">
        <f t="shared" si="104"/>
        <v>243101.24999999997</v>
      </c>
      <c r="O148" s="118">
        <f t="shared" si="104"/>
        <v>255256.31249999997</v>
      </c>
      <c r="P148" s="118">
        <f t="shared" si="104"/>
        <v>268019.12812499999</v>
      </c>
      <c r="Q148" s="118">
        <f t="shared" si="104"/>
        <v>281420.08453125</v>
      </c>
      <c r="R148" s="118">
        <f t="shared" si="104"/>
        <v>295491.08875781251</v>
      </c>
      <c r="S148" s="118">
        <f t="shared" si="104"/>
        <v>310265.64319570316</v>
      </c>
      <c r="T148" s="118">
        <f t="shared" si="104"/>
        <v>325778.92535548832</v>
      </c>
      <c r="U148" s="117"/>
      <c r="V148" s="123"/>
    </row>
    <row r="149" spans="1:23" x14ac:dyDescent="0.4"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</row>
    <row r="151" spans="1:23" x14ac:dyDescent="0.4"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</row>
    <row r="152" spans="1:23" s="91" customFormat="1" ht="18.5" x14ac:dyDescent="0.5">
      <c r="A152" s="88"/>
      <c r="B152" s="88"/>
      <c r="C152" s="88"/>
      <c r="D152" s="88"/>
      <c r="E152" s="90"/>
      <c r="F152" s="59" t="s">
        <v>122</v>
      </c>
      <c r="K152" s="119">
        <f>+K131-K145</f>
        <v>301200</v>
      </c>
      <c r="L152" s="119">
        <f t="shared" ref="L152:T152" si="105">+L131-L145</f>
        <v>322236</v>
      </c>
      <c r="M152" s="119">
        <f t="shared" si="105"/>
        <v>344503.08</v>
      </c>
      <c r="N152" s="119">
        <f t="shared" si="105"/>
        <v>368068.17239999998</v>
      </c>
      <c r="O152" s="119">
        <f t="shared" si="105"/>
        <v>393001.71757199999</v>
      </c>
      <c r="P152" s="119">
        <f t="shared" si="105"/>
        <v>419377.84409915999</v>
      </c>
      <c r="Q152" s="119">
        <f t="shared" si="105"/>
        <v>447274.5581721348</v>
      </c>
      <c r="R152" s="119">
        <f t="shared" si="105"/>
        <v>476773.94260479888</v>
      </c>
      <c r="S152" s="119">
        <f t="shared" si="105"/>
        <v>507962.36595481791</v>
      </c>
      <c r="T152" s="119">
        <f t="shared" si="105"/>
        <v>540930.70225893124</v>
      </c>
      <c r="U152" s="121"/>
      <c r="V152" s="122"/>
      <c r="W152" s="98">
        <f>+SUM(K152:T152)</f>
        <v>4121328.3830618421</v>
      </c>
    </row>
    <row r="168" spans="6:20" ht="18.5" x14ac:dyDescent="0.5">
      <c r="F168" s="59" t="s">
        <v>127</v>
      </c>
      <c r="G168" s="91"/>
      <c r="H168" s="91"/>
      <c r="I168" s="91"/>
      <c r="J168" s="91"/>
      <c r="K168" s="95">
        <f>+K152+K107</f>
        <v>532844.44496636302</v>
      </c>
      <c r="L168" s="95">
        <f t="shared" ref="L168:T168" si="106">+L91-L99-L108</f>
        <v>48755.423405900001</v>
      </c>
      <c r="M168" s="95">
        <f t="shared" si="106"/>
        <v>50218.086108077012</v>
      </c>
      <c r="N168" s="95">
        <f t="shared" si="106"/>
        <v>51724.628691319318</v>
      </c>
      <c r="O168" s="95">
        <f t="shared" si="106"/>
        <v>53276.367552058902</v>
      </c>
      <c r="P168" s="95">
        <f t="shared" si="106"/>
        <v>54874.658578620671</v>
      </c>
      <c r="Q168" s="95">
        <f t="shared" si="106"/>
        <v>56520.898335979291</v>
      </c>
      <c r="R168" s="95">
        <f t="shared" si="106"/>
        <v>58216.52528605867</v>
      </c>
      <c r="S168" s="95">
        <f t="shared" si="106"/>
        <v>59963.021044640438</v>
      </c>
      <c r="T168" s="95">
        <f t="shared" si="106"/>
        <v>61761.911675979645</v>
      </c>
    </row>
  </sheetData>
  <pageMargins left="0.7" right="0.7" top="0.75" bottom="0.75" header="0.3" footer="0.3"/>
  <pageSetup paperSize="9" orientation="portrait" horizontalDpi="0" verticalDpi="0" r:id="rId1"/>
  <ignoredErrors>
    <ignoredError sqref="K6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3DB9-6251-4459-890A-4057002E68D5}">
  <dimension ref="A2:AC168"/>
  <sheetViews>
    <sheetView workbookViewId="0"/>
  </sheetViews>
  <sheetFormatPr defaultColWidth="9.1796875" defaultRowHeight="15" x14ac:dyDescent="0.4"/>
  <cols>
    <col min="1" max="1" width="8.7265625" customWidth="1"/>
    <col min="2" max="2" width="15.7265625" customWidth="1"/>
    <col min="3" max="3" width="9.453125" customWidth="1"/>
    <col min="4" max="4" width="2.54296875" customWidth="1"/>
    <col min="5" max="5" width="9.81640625" style="69" customWidth="1"/>
    <col min="6" max="6" width="41.1796875" style="46" customWidth="1"/>
    <col min="7" max="7" width="2" style="46" customWidth="1"/>
    <col min="8" max="8" width="9.81640625" style="46" bestFit="1" customWidth="1"/>
    <col min="9" max="9" width="11.7265625" style="46" customWidth="1"/>
    <col min="10" max="10" width="2" style="46" customWidth="1"/>
    <col min="11" max="20" width="12.453125" style="46" customWidth="1"/>
    <col min="21" max="21" width="2" style="46" customWidth="1"/>
    <col min="22" max="22" width="9.7265625" style="46" customWidth="1"/>
    <col min="23" max="23" width="16.7265625" style="69" customWidth="1"/>
    <col min="24" max="16384" width="9.1796875" style="46"/>
  </cols>
  <sheetData>
    <row r="2" spans="3:23" ht="21.5" x14ac:dyDescent="0.6">
      <c r="F2" s="47"/>
      <c r="H2" s="48"/>
      <c r="N2" s="131"/>
      <c r="O2" s="131"/>
      <c r="P2" s="131"/>
      <c r="Q2" s="131"/>
      <c r="R2" s="131"/>
      <c r="S2" s="131"/>
      <c r="T2" s="131"/>
    </row>
    <row r="3" spans="3:23" x14ac:dyDescent="0.4">
      <c r="I3" s="133"/>
      <c r="J3" s="125"/>
      <c r="K3" s="133"/>
    </row>
    <row r="4" spans="3:23" x14ac:dyDescent="0.4">
      <c r="C4" s="113" t="s">
        <v>115</v>
      </c>
      <c r="H4" s="132" t="s">
        <v>35</v>
      </c>
      <c r="I4" s="134" t="s">
        <v>125</v>
      </c>
      <c r="J4" s="138"/>
      <c r="K4" s="134" t="s">
        <v>124</v>
      </c>
      <c r="N4" s="129"/>
      <c r="O4" s="129"/>
      <c r="P4" s="129"/>
      <c r="Q4" s="129"/>
      <c r="R4" s="129"/>
      <c r="S4" s="129"/>
      <c r="T4" s="129"/>
      <c r="W4" s="140"/>
    </row>
    <row r="5" spans="3:23" ht="9" customHeight="1" x14ac:dyDescent="0.4">
      <c r="C5" s="113"/>
      <c r="H5" s="132"/>
      <c r="I5" s="134"/>
      <c r="J5" s="138"/>
      <c r="K5" s="134"/>
      <c r="N5" s="129"/>
      <c r="O5" s="129"/>
      <c r="P5" s="129"/>
      <c r="Q5" s="129"/>
      <c r="R5" s="129"/>
      <c r="S5" s="129"/>
      <c r="T5" s="129"/>
      <c r="W5" s="140"/>
    </row>
    <row r="6" spans="3:23" ht="18" customHeight="1" x14ac:dyDescent="0.4">
      <c r="C6" s="62">
        <v>35000</v>
      </c>
      <c r="F6" s="58" t="s">
        <v>116</v>
      </c>
      <c r="H6" s="139">
        <v>1</v>
      </c>
      <c r="I6" s="57">
        <f t="shared" ref="I6:I14" si="0">+C6</f>
        <v>35000</v>
      </c>
      <c r="K6" s="57">
        <f t="shared" ref="K6:K14" si="1">+C6*H6</f>
        <v>35000</v>
      </c>
      <c r="N6" s="57"/>
      <c r="O6" s="57"/>
      <c r="P6" s="57"/>
      <c r="Q6" s="57"/>
      <c r="R6" s="57"/>
      <c r="S6" s="57"/>
      <c r="T6" s="57"/>
    </row>
    <row r="7" spans="3:23" ht="18" customHeight="1" x14ac:dyDescent="0.4">
      <c r="C7" s="62">
        <v>5000</v>
      </c>
      <c r="F7" s="58" t="s">
        <v>19</v>
      </c>
      <c r="H7" s="139">
        <v>22</v>
      </c>
      <c r="I7" s="57">
        <f t="shared" si="0"/>
        <v>5000</v>
      </c>
      <c r="K7" s="57">
        <f t="shared" si="1"/>
        <v>110000</v>
      </c>
      <c r="N7" s="57"/>
      <c r="O7" s="57"/>
      <c r="P7" s="57"/>
      <c r="Q7" s="57"/>
      <c r="R7" s="57"/>
      <c r="S7" s="57"/>
      <c r="T7" s="57"/>
    </row>
    <row r="8" spans="3:23" ht="18" customHeight="1" x14ac:dyDescent="0.4">
      <c r="C8" s="62">
        <v>5500</v>
      </c>
      <c r="F8" s="58" t="s">
        <v>20</v>
      </c>
      <c r="H8" s="139">
        <v>13</v>
      </c>
      <c r="I8" s="57">
        <f t="shared" si="0"/>
        <v>5500</v>
      </c>
      <c r="K8" s="57">
        <f t="shared" si="1"/>
        <v>71500</v>
      </c>
      <c r="N8" s="57"/>
      <c r="O8" s="57"/>
      <c r="P8" s="57"/>
      <c r="Q8" s="57"/>
      <c r="R8" s="57"/>
      <c r="S8" s="57"/>
      <c r="T8" s="57"/>
    </row>
    <row r="9" spans="3:23" ht="18" customHeight="1" x14ac:dyDescent="0.4">
      <c r="C9" s="62">
        <v>6000</v>
      </c>
      <c r="F9" s="58" t="s">
        <v>21</v>
      </c>
      <c r="H9" s="139">
        <v>2</v>
      </c>
      <c r="I9" s="57">
        <f t="shared" si="0"/>
        <v>6000</v>
      </c>
      <c r="K9" s="57">
        <f t="shared" si="1"/>
        <v>12000</v>
      </c>
      <c r="N9" s="57"/>
      <c r="O9" s="57"/>
      <c r="P9" s="57"/>
      <c r="Q9" s="57"/>
      <c r="R9" s="57"/>
      <c r="S9" s="57"/>
      <c r="T9" s="57"/>
    </row>
    <row r="10" spans="3:23" ht="18" customHeight="1" x14ac:dyDescent="0.4">
      <c r="C10" s="62">
        <v>7000</v>
      </c>
      <c r="F10" s="58" t="s">
        <v>22</v>
      </c>
      <c r="H10" s="139">
        <v>4</v>
      </c>
      <c r="I10" s="57">
        <f t="shared" si="0"/>
        <v>7000</v>
      </c>
      <c r="K10" s="57">
        <f t="shared" si="1"/>
        <v>28000</v>
      </c>
      <c r="N10" s="57"/>
      <c r="O10" s="57"/>
      <c r="P10" s="57"/>
      <c r="Q10" s="57"/>
      <c r="R10" s="57"/>
      <c r="S10" s="57"/>
      <c r="T10" s="57"/>
    </row>
    <row r="11" spans="3:23" ht="18" customHeight="1" x14ac:dyDescent="0.4">
      <c r="C11" s="62">
        <v>7000</v>
      </c>
      <c r="F11" s="58" t="s">
        <v>23</v>
      </c>
      <c r="H11" s="139">
        <v>4</v>
      </c>
      <c r="I11" s="57">
        <f t="shared" si="0"/>
        <v>7000</v>
      </c>
      <c r="K11" s="57">
        <f t="shared" si="1"/>
        <v>28000</v>
      </c>
      <c r="N11" s="57"/>
      <c r="O11" s="57"/>
      <c r="P11" s="57"/>
      <c r="Q11" s="57"/>
      <c r="R11" s="57"/>
      <c r="S11" s="57"/>
      <c r="T11" s="57"/>
    </row>
    <row r="12" spans="3:23" ht="18" customHeight="1" x14ac:dyDescent="0.4">
      <c r="C12" s="62">
        <v>7000</v>
      </c>
      <c r="F12" s="58" t="s">
        <v>24</v>
      </c>
      <c r="H12" s="139">
        <v>5</v>
      </c>
      <c r="I12" s="57">
        <f t="shared" si="0"/>
        <v>7000</v>
      </c>
      <c r="K12" s="57">
        <f t="shared" si="1"/>
        <v>35000</v>
      </c>
      <c r="N12" s="57"/>
      <c r="O12" s="57"/>
      <c r="P12" s="57"/>
      <c r="Q12" s="57"/>
      <c r="R12" s="57"/>
      <c r="S12" s="57"/>
      <c r="T12" s="57"/>
    </row>
    <row r="13" spans="3:23" ht="18" customHeight="1" x14ac:dyDescent="0.4">
      <c r="C13" s="62">
        <v>7000</v>
      </c>
      <c r="F13" s="58" t="s">
        <v>25</v>
      </c>
      <c r="H13" s="139">
        <v>4</v>
      </c>
      <c r="I13" s="57">
        <f t="shared" si="0"/>
        <v>7000</v>
      </c>
      <c r="K13" s="57">
        <f t="shared" si="1"/>
        <v>28000</v>
      </c>
      <c r="N13" s="57"/>
      <c r="O13" s="57"/>
      <c r="P13" s="57"/>
      <c r="Q13" s="57"/>
      <c r="R13" s="57"/>
      <c r="S13" s="57"/>
      <c r="T13" s="57"/>
    </row>
    <row r="14" spans="3:23" ht="18" customHeight="1" x14ac:dyDescent="0.4">
      <c r="C14" s="62">
        <v>8000</v>
      </c>
      <c r="F14" s="58" t="s">
        <v>26</v>
      </c>
      <c r="H14" s="139">
        <v>2</v>
      </c>
      <c r="I14" s="57">
        <f t="shared" si="0"/>
        <v>8000</v>
      </c>
      <c r="K14" s="57">
        <f t="shared" si="1"/>
        <v>16000</v>
      </c>
      <c r="N14" s="57"/>
      <c r="O14" s="57"/>
      <c r="P14" s="57"/>
      <c r="Q14" s="57"/>
      <c r="R14" s="57"/>
      <c r="S14" s="57"/>
      <c r="T14" s="57"/>
    </row>
    <row r="15" spans="3:23" ht="9" customHeight="1" x14ac:dyDescent="0.4">
      <c r="C15" s="127"/>
      <c r="F15" s="58"/>
      <c r="H15" s="66"/>
      <c r="I15" s="57"/>
      <c r="K15" s="57"/>
      <c r="N15" s="57"/>
      <c r="O15" s="57"/>
      <c r="P15" s="57"/>
      <c r="Q15" s="57"/>
      <c r="R15" s="57"/>
      <c r="S15" s="57"/>
      <c r="T15" s="57"/>
    </row>
    <row r="16" spans="3:23" ht="18" customHeight="1" x14ac:dyDescent="0.5">
      <c r="C16" s="127"/>
      <c r="F16" s="59" t="s">
        <v>126</v>
      </c>
      <c r="G16" s="135"/>
      <c r="H16" s="136"/>
      <c r="I16" s="136"/>
      <c r="J16" s="135"/>
      <c r="K16" s="137">
        <f>+SUM(K6:K14)</f>
        <v>363500</v>
      </c>
      <c r="L16" s="57"/>
      <c r="M16" s="57"/>
      <c r="N16" s="57"/>
      <c r="O16" s="57"/>
      <c r="P16" s="57"/>
      <c r="Q16" s="57"/>
      <c r="R16" s="57"/>
      <c r="S16" s="57"/>
      <c r="T16" s="57"/>
    </row>
    <row r="17" spans="1:23" ht="18" customHeight="1" x14ac:dyDescent="0.4">
      <c r="C17" s="127"/>
      <c r="F17" s="58"/>
      <c r="H17" s="66"/>
      <c r="I17" s="66"/>
      <c r="K17" s="57"/>
      <c r="L17" s="57"/>
      <c r="M17" s="57"/>
      <c r="N17" s="57"/>
      <c r="O17" s="57"/>
      <c r="P17" s="57"/>
      <c r="Q17" s="57"/>
      <c r="R17" s="57"/>
      <c r="S17" s="57"/>
      <c r="T17" s="57"/>
    </row>
    <row r="18" spans="1:23" ht="18" customHeight="1" x14ac:dyDescent="0.4">
      <c r="C18" s="127"/>
      <c r="F18" s="58"/>
      <c r="H18" s="66"/>
      <c r="I18" s="66"/>
      <c r="K18" s="57"/>
      <c r="L18" s="57"/>
      <c r="M18" s="57"/>
      <c r="N18" s="57"/>
      <c r="O18" s="57"/>
      <c r="P18" s="57"/>
      <c r="Q18" s="57"/>
      <c r="R18" s="57"/>
      <c r="S18" s="57"/>
      <c r="T18" s="57"/>
    </row>
    <row r="19" spans="1:23" x14ac:dyDescent="0.4">
      <c r="F19" s="55" t="s">
        <v>48</v>
      </c>
      <c r="G19" s="56"/>
      <c r="H19" s="56" t="s">
        <v>47</v>
      </c>
      <c r="I19" s="56"/>
      <c r="J19" s="56"/>
      <c r="K19" s="56">
        <v>140.9</v>
      </c>
      <c r="L19" s="56">
        <v>154.1</v>
      </c>
      <c r="M19" s="56">
        <v>169.5</v>
      </c>
      <c r="N19" s="56">
        <f>+M19*(1+$H$27)</f>
        <v>174.58500000000001</v>
      </c>
      <c r="O19" s="56">
        <f t="shared" ref="O19:T19" si="2">+N19*(1+$H$27)</f>
        <v>179.82255000000001</v>
      </c>
      <c r="P19" s="56">
        <f t="shared" si="2"/>
        <v>185.21722650000001</v>
      </c>
      <c r="Q19" s="56">
        <f t="shared" si="2"/>
        <v>190.773743295</v>
      </c>
      <c r="R19" s="56">
        <f t="shared" si="2"/>
        <v>196.49695559385</v>
      </c>
      <c r="S19" s="56">
        <f t="shared" si="2"/>
        <v>202.39186426166552</v>
      </c>
      <c r="T19" s="56">
        <f t="shared" si="2"/>
        <v>208.4636201895155</v>
      </c>
    </row>
    <row r="20" spans="1:23" customFormat="1" ht="12.5" x14ac:dyDescent="0.25">
      <c r="E20" s="70"/>
      <c r="W20" s="70"/>
    </row>
    <row r="21" spans="1:23" customFormat="1" ht="12.5" x14ac:dyDescent="0.25">
      <c r="E21" s="70"/>
      <c r="H21" s="43" t="s">
        <v>44</v>
      </c>
      <c r="I21" s="43"/>
      <c r="K21" s="42">
        <v>1300</v>
      </c>
      <c r="L21" s="42">
        <v>1400</v>
      </c>
      <c r="M21" s="42">
        <v>1500</v>
      </c>
      <c r="N21" s="42">
        <f>+M21*(1+SUM($H$27))</f>
        <v>1545</v>
      </c>
      <c r="O21" s="42">
        <f t="shared" ref="O21:T21" si="3">+N21*(1+SUM($H$27))</f>
        <v>1591.3500000000001</v>
      </c>
      <c r="P21" s="42">
        <f t="shared" si="3"/>
        <v>1639.0905000000002</v>
      </c>
      <c r="Q21" s="42">
        <f t="shared" si="3"/>
        <v>1688.2632150000004</v>
      </c>
      <c r="R21" s="42">
        <f t="shared" si="3"/>
        <v>1738.9111114500004</v>
      </c>
      <c r="S21" s="42">
        <f t="shared" si="3"/>
        <v>1791.0784447935005</v>
      </c>
      <c r="T21" s="42">
        <f t="shared" si="3"/>
        <v>1844.8107981373055</v>
      </c>
      <c r="W21" s="70"/>
    </row>
    <row r="22" spans="1:23" customFormat="1" ht="12.5" x14ac:dyDescent="0.25">
      <c r="E22" s="70"/>
      <c r="H22" s="43" t="s">
        <v>45</v>
      </c>
      <c r="I22" s="43"/>
      <c r="K22" s="44">
        <f t="shared" ref="K22:T22" si="4">+K57/K47</f>
        <v>0.38528282608481174</v>
      </c>
      <c r="L22" s="44">
        <f t="shared" si="4"/>
        <v>0.37639314071510371</v>
      </c>
      <c r="M22" s="44">
        <f t="shared" si="4"/>
        <v>0.37419011781813194</v>
      </c>
      <c r="N22" s="44">
        <f t="shared" si="4"/>
        <v>0.36801914963080723</v>
      </c>
      <c r="O22" s="44">
        <f t="shared" si="4"/>
        <v>0.36100926106641101</v>
      </c>
      <c r="P22" s="44">
        <f t="shared" si="4"/>
        <v>0.35413289418895544</v>
      </c>
      <c r="Q22" s="44">
        <f t="shared" si="4"/>
        <v>0.34648466366935204</v>
      </c>
      <c r="R22" s="44">
        <f t="shared" si="4"/>
        <v>0.3407706008571999</v>
      </c>
      <c r="S22" s="44">
        <f t="shared" si="4"/>
        <v>0.33427973226944363</v>
      </c>
      <c r="T22" s="44">
        <f t="shared" si="4"/>
        <v>0.3279124992738352</v>
      </c>
      <c r="W22" s="70"/>
    </row>
    <row r="23" spans="1:23" customFormat="1" ht="12.5" x14ac:dyDescent="0.25">
      <c r="E23" s="70"/>
      <c r="H23" s="43"/>
      <c r="I23" s="43"/>
      <c r="K23" s="44"/>
      <c r="L23" s="44"/>
      <c r="M23" s="44"/>
      <c r="N23" s="44"/>
      <c r="O23" s="44"/>
      <c r="P23" s="44"/>
      <c r="Q23" s="44"/>
      <c r="R23" s="44"/>
      <c r="S23" s="44"/>
      <c r="T23" s="44"/>
      <c r="W23" s="70"/>
    </row>
    <row r="24" spans="1:23" customFormat="1" ht="12.5" x14ac:dyDescent="0.25">
      <c r="E24" s="70"/>
      <c r="H24" s="43" t="s">
        <v>40</v>
      </c>
      <c r="I24" s="43"/>
      <c r="K24" s="60">
        <v>0.37</v>
      </c>
      <c r="L24" s="60">
        <v>0.38</v>
      </c>
      <c r="M24" s="60">
        <v>0.4</v>
      </c>
      <c r="N24" s="60">
        <v>0.41</v>
      </c>
      <c r="O24" s="60">
        <v>0.41</v>
      </c>
      <c r="P24" s="60">
        <v>0.41</v>
      </c>
      <c r="Q24" s="60">
        <v>0.41</v>
      </c>
      <c r="R24" s="60">
        <v>0.41</v>
      </c>
      <c r="S24" s="60">
        <v>0.41</v>
      </c>
      <c r="T24" s="60">
        <v>0.41</v>
      </c>
      <c r="W24" s="70"/>
    </row>
    <row r="25" spans="1:23" customFormat="1" ht="12.5" x14ac:dyDescent="0.25">
      <c r="E25" s="70"/>
      <c r="H25" s="43" t="s">
        <v>128</v>
      </c>
      <c r="I25" s="43"/>
      <c r="K25" s="60">
        <v>0.05</v>
      </c>
      <c r="L25" s="60">
        <v>0.08</v>
      </c>
      <c r="M25" s="60">
        <v>0.08</v>
      </c>
      <c r="N25" s="60">
        <v>0.08</v>
      </c>
      <c r="O25" s="60">
        <v>0.08</v>
      </c>
      <c r="P25" s="60">
        <v>0.08</v>
      </c>
      <c r="Q25" s="60">
        <v>0.08</v>
      </c>
      <c r="R25" s="60">
        <v>0.08</v>
      </c>
      <c r="S25" s="60">
        <v>0.08</v>
      </c>
      <c r="T25" s="60">
        <v>0.08</v>
      </c>
      <c r="W25" s="70"/>
    </row>
    <row r="26" spans="1:23" customFormat="1" ht="12.5" x14ac:dyDescent="0.25">
      <c r="E26" s="70"/>
      <c r="L26" s="41"/>
      <c r="W26" s="70"/>
    </row>
    <row r="27" spans="1:23" customFormat="1" ht="12.5" x14ac:dyDescent="0.25">
      <c r="E27" s="70"/>
      <c r="F27" s="38" t="s">
        <v>42</v>
      </c>
      <c r="H27" s="39">
        <v>0.03</v>
      </c>
      <c r="I27" s="128"/>
      <c r="K27" s="44"/>
      <c r="W27" s="70"/>
    </row>
    <row r="28" spans="1:23" customFormat="1" ht="12.5" x14ac:dyDescent="0.25">
      <c r="E28" s="70"/>
      <c r="F28" s="38" t="s">
        <v>43</v>
      </c>
      <c r="H28" s="39">
        <v>0.02</v>
      </c>
      <c r="I28" s="128"/>
      <c r="W28" s="70"/>
    </row>
    <row r="29" spans="1:23" customFormat="1" ht="12.5" x14ac:dyDescent="0.25">
      <c r="E29" s="70"/>
      <c r="W29" s="70"/>
    </row>
    <row r="30" spans="1:23" s="45" customFormat="1" x14ac:dyDescent="0.4">
      <c r="A30" s="37"/>
      <c r="B30" s="37"/>
      <c r="C30" s="37"/>
      <c r="D30" s="37"/>
      <c r="E30" s="71"/>
      <c r="W30" s="71"/>
    </row>
    <row r="32" spans="1:23" ht="21.5" x14ac:dyDescent="0.6">
      <c r="F32" s="47"/>
      <c r="H32" s="48"/>
      <c r="I32" s="48"/>
      <c r="K32" s="130">
        <v>2026</v>
      </c>
      <c r="L32" s="130">
        <v>2027</v>
      </c>
      <c r="M32" s="130">
        <v>2028</v>
      </c>
      <c r="N32" s="130">
        <v>2029</v>
      </c>
      <c r="O32" s="130">
        <v>2030</v>
      </c>
      <c r="P32" s="130">
        <v>2031</v>
      </c>
      <c r="Q32" s="130">
        <v>2032</v>
      </c>
      <c r="R32" s="130">
        <v>2033</v>
      </c>
      <c r="S32" s="130">
        <v>2034</v>
      </c>
      <c r="T32" s="130">
        <v>2035</v>
      </c>
    </row>
    <row r="34" spans="1:29" s="91" customFormat="1" ht="18.5" x14ac:dyDescent="0.5">
      <c r="A34" s="88"/>
      <c r="B34" s="88"/>
      <c r="C34" s="128"/>
      <c r="D34" s="89"/>
      <c r="E34" s="90"/>
      <c r="F34" s="59" t="s">
        <v>50</v>
      </c>
      <c r="H34" s="92"/>
      <c r="I34" s="92"/>
      <c r="K34" s="104">
        <v>0.76</v>
      </c>
      <c r="L34" s="104">
        <v>0.8</v>
      </c>
      <c r="M34" s="104">
        <v>0.82</v>
      </c>
      <c r="N34" s="104">
        <v>0.82</v>
      </c>
      <c r="O34" s="104">
        <v>0.82</v>
      </c>
      <c r="P34" s="104">
        <v>0.82</v>
      </c>
      <c r="Q34" s="104">
        <v>0.82</v>
      </c>
      <c r="R34" s="104">
        <v>0.82</v>
      </c>
      <c r="S34" s="104">
        <v>0.82</v>
      </c>
      <c r="T34" s="104">
        <v>0.82</v>
      </c>
      <c r="W34" s="99">
        <f>+AVERAGE(K34:T34)</f>
        <v>0.81200000000000006</v>
      </c>
    </row>
    <row r="35" spans="1:29" ht="18" customHeight="1" x14ac:dyDescent="0.45">
      <c r="F35" s="58" t="s">
        <v>34</v>
      </c>
      <c r="H35" s="49"/>
      <c r="I35" s="49"/>
      <c r="K35" s="105">
        <v>365</v>
      </c>
      <c r="L35" s="105">
        <v>365</v>
      </c>
      <c r="M35" s="105">
        <v>366</v>
      </c>
      <c r="N35" s="105">
        <v>365</v>
      </c>
      <c r="O35" s="105">
        <v>365</v>
      </c>
      <c r="P35" s="105">
        <v>365</v>
      </c>
      <c r="Q35" s="105">
        <v>366</v>
      </c>
      <c r="R35" s="105">
        <v>365</v>
      </c>
      <c r="S35" s="105">
        <v>365</v>
      </c>
      <c r="T35" s="105">
        <v>365</v>
      </c>
    </row>
    <row r="36" spans="1:29" ht="18" customHeight="1" x14ac:dyDescent="0.6">
      <c r="F36" s="58" t="s">
        <v>35</v>
      </c>
      <c r="H36" s="49"/>
      <c r="I36" s="49"/>
      <c r="K36" s="105">
        <v>56</v>
      </c>
      <c r="L36" s="105">
        <v>56</v>
      </c>
      <c r="M36" s="105">
        <v>56</v>
      </c>
      <c r="N36" s="105">
        <v>56</v>
      </c>
      <c r="O36" s="105">
        <v>56</v>
      </c>
      <c r="P36" s="105">
        <v>56</v>
      </c>
      <c r="Q36" s="105">
        <v>56</v>
      </c>
      <c r="R36" s="105">
        <v>56</v>
      </c>
      <c r="S36" s="105">
        <v>56</v>
      </c>
      <c r="T36" s="105">
        <v>56</v>
      </c>
      <c r="AC36" s="50"/>
    </row>
    <row r="37" spans="1:29" s="91" customFormat="1" ht="18.5" x14ac:dyDescent="0.5">
      <c r="A37" s="88"/>
      <c r="B37" s="142" t="s">
        <v>49</v>
      </c>
      <c r="C37" s="143">
        <v>119.43725580285421</v>
      </c>
      <c r="D37" s="93"/>
      <c r="E37" s="90"/>
      <c r="F37" s="59" t="s">
        <v>36</v>
      </c>
      <c r="H37" s="94"/>
      <c r="I37" s="94"/>
      <c r="K37" s="106">
        <f>+($H$38*K38+$H$39*K39+$H$40*K40+$H$41*K41+$H$42*K42+$H$43*K43+$H$44*K44+$H$45*K45)/SUM($H$38:$H$45)</f>
        <v>138.28826530612244</v>
      </c>
      <c r="L37" s="106">
        <f t="shared" ref="L37:T37" si="5">+($H$38*L38+$H$39*L39+$H$40*L40+$H$41*L41+$H$42*L42+$H$43*L43+$H$44*L44+$H$45*L45)/SUM($H$38:$H$45)</f>
        <v>145.20267857142858</v>
      </c>
      <c r="M37" s="106">
        <f t="shared" si="5"/>
        <v>152.46281249999998</v>
      </c>
      <c r="N37" s="106">
        <f t="shared" si="5"/>
        <v>160.085953125</v>
      </c>
      <c r="O37" s="106">
        <f t="shared" si="5"/>
        <v>168.09025078125001</v>
      </c>
      <c r="P37" s="106">
        <f t="shared" si="5"/>
        <v>176.49476332031253</v>
      </c>
      <c r="Q37" s="106">
        <f t="shared" si="5"/>
        <v>185.31950148632819</v>
      </c>
      <c r="R37" s="106">
        <f t="shared" si="5"/>
        <v>194.58547656064457</v>
      </c>
      <c r="S37" s="106">
        <f t="shared" si="5"/>
        <v>204.31475038867688</v>
      </c>
      <c r="T37" s="106">
        <f t="shared" si="5"/>
        <v>214.5304879081107</v>
      </c>
      <c r="W37" s="98">
        <f>+AVERAGE(K37:T37)</f>
        <v>173.93749399478739</v>
      </c>
    </row>
    <row r="38" spans="1:29" ht="18" hidden="1" customHeight="1" x14ac:dyDescent="0.4">
      <c r="F38" s="58" t="s">
        <v>19</v>
      </c>
      <c r="H38" s="61">
        <v>22</v>
      </c>
      <c r="I38" s="66"/>
      <c r="K38" s="107">
        <v>115</v>
      </c>
      <c r="L38" s="107">
        <f>+K38*(1+SUM($H$27:$H$28))</f>
        <v>120.75</v>
      </c>
      <c r="M38" s="107">
        <f t="shared" ref="M38:T38" si="6">+L38*(1+SUM($H$27:$H$28))</f>
        <v>126.78750000000001</v>
      </c>
      <c r="N38" s="107">
        <f t="shared" si="6"/>
        <v>133.12687500000001</v>
      </c>
      <c r="O38" s="107">
        <f t="shared" si="6"/>
        <v>139.78321875000003</v>
      </c>
      <c r="P38" s="107">
        <f t="shared" si="6"/>
        <v>146.77237968750003</v>
      </c>
      <c r="Q38" s="107">
        <f t="shared" si="6"/>
        <v>154.11099867187505</v>
      </c>
      <c r="R38" s="107">
        <f t="shared" si="6"/>
        <v>161.81654860546882</v>
      </c>
      <c r="S38" s="107">
        <f t="shared" si="6"/>
        <v>169.90737603574226</v>
      </c>
      <c r="T38" s="107">
        <f t="shared" si="6"/>
        <v>178.40274483752938</v>
      </c>
    </row>
    <row r="39" spans="1:29" ht="18" hidden="1" customHeight="1" x14ac:dyDescent="0.4">
      <c r="F39" s="58" t="s">
        <v>20</v>
      </c>
      <c r="H39" s="61">
        <v>13</v>
      </c>
      <c r="I39" s="66"/>
      <c r="K39" s="107">
        <v>135</v>
      </c>
      <c r="L39" s="107">
        <f t="shared" ref="L39:T45" si="7">+K39*(1+SUM($H$27:$H$28))</f>
        <v>141.75</v>
      </c>
      <c r="M39" s="107">
        <f t="shared" si="7"/>
        <v>148.83750000000001</v>
      </c>
      <c r="N39" s="107">
        <f t="shared" si="7"/>
        <v>156.27937500000002</v>
      </c>
      <c r="O39" s="107">
        <f t="shared" si="7"/>
        <v>164.09334375000003</v>
      </c>
      <c r="P39" s="107">
        <f t="shared" si="7"/>
        <v>172.29801093750004</v>
      </c>
      <c r="Q39" s="107">
        <f t="shared" si="7"/>
        <v>180.91291148437506</v>
      </c>
      <c r="R39" s="107">
        <f t="shared" si="7"/>
        <v>189.95855705859381</v>
      </c>
      <c r="S39" s="107">
        <f t="shared" si="7"/>
        <v>199.45648491152352</v>
      </c>
      <c r="T39" s="107">
        <f t="shared" si="7"/>
        <v>209.42930915709971</v>
      </c>
    </row>
    <row r="40" spans="1:29" ht="18" hidden="1" customHeight="1" x14ac:dyDescent="0.4">
      <c r="F40" s="58" t="s">
        <v>21</v>
      </c>
      <c r="H40" s="61">
        <v>2</v>
      </c>
      <c r="I40" s="66"/>
      <c r="K40" s="107">
        <v>135</v>
      </c>
      <c r="L40" s="107">
        <f t="shared" si="7"/>
        <v>141.75</v>
      </c>
      <c r="M40" s="107">
        <f t="shared" si="7"/>
        <v>148.83750000000001</v>
      </c>
      <c r="N40" s="107">
        <f t="shared" si="7"/>
        <v>156.27937500000002</v>
      </c>
      <c r="O40" s="107">
        <f t="shared" si="7"/>
        <v>164.09334375000003</v>
      </c>
      <c r="P40" s="107">
        <f t="shared" si="7"/>
        <v>172.29801093750004</v>
      </c>
      <c r="Q40" s="107">
        <f t="shared" si="7"/>
        <v>180.91291148437506</v>
      </c>
      <c r="R40" s="107">
        <f t="shared" si="7"/>
        <v>189.95855705859381</v>
      </c>
      <c r="S40" s="107">
        <f t="shared" si="7"/>
        <v>199.45648491152352</v>
      </c>
      <c r="T40" s="107">
        <f t="shared" si="7"/>
        <v>209.42930915709971</v>
      </c>
    </row>
    <row r="41" spans="1:29" ht="18" hidden="1" customHeight="1" x14ac:dyDescent="0.4">
      <c r="F41" s="58" t="s">
        <v>22</v>
      </c>
      <c r="H41" s="61">
        <v>4</v>
      </c>
      <c r="I41" s="66"/>
      <c r="K41" s="107">
        <v>146.03571428571428</v>
      </c>
      <c r="L41" s="107">
        <f t="shared" si="7"/>
        <v>153.33750000000001</v>
      </c>
      <c r="M41" s="107">
        <f t="shared" si="7"/>
        <v>161.00437500000001</v>
      </c>
      <c r="N41" s="107">
        <f t="shared" si="7"/>
        <v>169.05459375000001</v>
      </c>
      <c r="O41" s="107">
        <f t="shared" si="7"/>
        <v>177.50732343750002</v>
      </c>
      <c r="P41" s="107">
        <f t="shared" si="7"/>
        <v>186.38268960937503</v>
      </c>
      <c r="Q41" s="107">
        <f t="shared" si="7"/>
        <v>195.7018240898438</v>
      </c>
      <c r="R41" s="107">
        <f t="shared" si="7"/>
        <v>205.486915294336</v>
      </c>
      <c r="S41" s="107">
        <f t="shared" si="7"/>
        <v>215.7612610590528</v>
      </c>
      <c r="T41" s="107">
        <f t="shared" si="7"/>
        <v>226.54932411200545</v>
      </c>
    </row>
    <row r="42" spans="1:29" ht="18" hidden="1" customHeight="1" x14ac:dyDescent="0.4">
      <c r="F42" s="58" t="s">
        <v>23</v>
      </c>
      <c r="H42" s="61">
        <v>4</v>
      </c>
      <c r="I42" s="66"/>
      <c r="K42" s="107">
        <v>140</v>
      </c>
      <c r="L42" s="107">
        <f t="shared" si="7"/>
        <v>147</v>
      </c>
      <c r="M42" s="107">
        <f t="shared" si="7"/>
        <v>154.35</v>
      </c>
      <c r="N42" s="107">
        <f t="shared" si="7"/>
        <v>162.0675</v>
      </c>
      <c r="O42" s="107">
        <f t="shared" si="7"/>
        <v>170.170875</v>
      </c>
      <c r="P42" s="107">
        <f t="shared" si="7"/>
        <v>178.67941875</v>
      </c>
      <c r="Q42" s="107">
        <f t="shared" si="7"/>
        <v>187.61338968750002</v>
      </c>
      <c r="R42" s="107">
        <f t="shared" si="7"/>
        <v>196.99405917187502</v>
      </c>
      <c r="S42" s="107">
        <f t="shared" si="7"/>
        <v>206.84376213046878</v>
      </c>
      <c r="T42" s="107">
        <f t="shared" si="7"/>
        <v>217.18595023699223</v>
      </c>
    </row>
    <row r="43" spans="1:29" ht="18" hidden="1" customHeight="1" x14ac:dyDescent="0.4">
      <c r="F43" s="58" t="s">
        <v>24</v>
      </c>
      <c r="H43" s="61">
        <v>5</v>
      </c>
      <c r="I43" s="66"/>
      <c r="K43" s="107">
        <v>165</v>
      </c>
      <c r="L43" s="107">
        <f t="shared" si="7"/>
        <v>173.25</v>
      </c>
      <c r="M43" s="107">
        <f t="shared" si="7"/>
        <v>181.91249999999999</v>
      </c>
      <c r="N43" s="107">
        <f t="shared" si="7"/>
        <v>191.00812500000001</v>
      </c>
      <c r="O43" s="107">
        <f t="shared" si="7"/>
        <v>200.55853125000002</v>
      </c>
      <c r="P43" s="107">
        <f t="shared" si="7"/>
        <v>210.58645781250002</v>
      </c>
      <c r="Q43" s="107">
        <f t="shared" si="7"/>
        <v>221.11578070312501</v>
      </c>
      <c r="R43" s="107">
        <f t="shared" si="7"/>
        <v>232.17156973828128</v>
      </c>
      <c r="S43" s="107">
        <f t="shared" si="7"/>
        <v>243.78014822519535</v>
      </c>
      <c r="T43" s="107">
        <f t="shared" si="7"/>
        <v>255.96915563645513</v>
      </c>
    </row>
    <row r="44" spans="1:29" ht="18" hidden="1" customHeight="1" x14ac:dyDescent="0.4">
      <c r="F44" s="58" t="s">
        <v>25</v>
      </c>
      <c r="H44" s="61">
        <v>4</v>
      </c>
      <c r="I44" s="66"/>
      <c r="K44" s="107">
        <v>190</v>
      </c>
      <c r="L44" s="107">
        <f t="shared" si="7"/>
        <v>199.5</v>
      </c>
      <c r="M44" s="107">
        <f t="shared" si="7"/>
        <v>209.47500000000002</v>
      </c>
      <c r="N44" s="107">
        <f t="shared" si="7"/>
        <v>219.94875000000005</v>
      </c>
      <c r="O44" s="107">
        <f t="shared" si="7"/>
        <v>230.94618750000006</v>
      </c>
      <c r="P44" s="107">
        <f t="shared" si="7"/>
        <v>242.49349687500009</v>
      </c>
      <c r="Q44" s="107">
        <f t="shared" si="7"/>
        <v>254.61817171875012</v>
      </c>
      <c r="R44" s="107">
        <f t="shared" si="7"/>
        <v>267.34908030468762</v>
      </c>
      <c r="S44" s="107">
        <f t="shared" si="7"/>
        <v>280.716534319922</v>
      </c>
      <c r="T44" s="107">
        <f t="shared" si="7"/>
        <v>294.75236103591811</v>
      </c>
    </row>
    <row r="45" spans="1:29" ht="18" hidden="1" customHeight="1" x14ac:dyDescent="0.4">
      <c r="F45" s="58" t="s">
        <v>26</v>
      </c>
      <c r="H45" s="61">
        <v>2</v>
      </c>
      <c r="I45" s="66"/>
      <c r="K45" s="107">
        <v>230</v>
      </c>
      <c r="L45" s="107">
        <f t="shared" si="7"/>
        <v>241.5</v>
      </c>
      <c r="M45" s="107">
        <f t="shared" si="7"/>
        <v>253.57500000000002</v>
      </c>
      <c r="N45" s="107">
        <f t="shared" si="7"/>
        <v>266.25375000000003</v>
      </c>
      <c r="O45" s="107">
        <f t="shared" si="7"/>
        <v>279.56643750000006</v>
      </c>
      <c r="P45" s="107">
        <f t="shared" si="7"/>
        <v>293.54475937500007</v>
      </c>
      <c r="Q45" s="107">
        <f t="shared" si="7"/>
        <v>308.2219973437501</v>
      </c>
      <c r="R45" s="107">
        <f t="shared" si="7"/>
        <v>323.63309721093765</v>
      </c>
      <c r="S45" s="107">
        <f t="shared" si="7"/>
        <v>339.81475207148452</v>
      </c>
      <c r="T45" s="107">
        <f t="shared" si="7"/>
        <v>356.80548967505877</v>
      </c>
    </row>
    <row r="46" spans="1:29" ht="16.5" x14ac:dyDescent="0.45">
      <c r="H46" s="51"/>
      <c r="I46" s="51"/>
      <c r="K46" s="108"/>
      <c r="L46" s="108"/>
      <c r="M46" s="108"/>
      <c r="N46" s="108"/>
      <c r="O46" s="108"/>
      <c r="P46" s="108"/>
      <c r="Q46" s="108"/>
      <c r="R46" s="108"/>
      <c r="S46" s="108"/>
      <c r="T46" s="108"/>
    </row>
    <row r="47" spans="1:29" s="91" customFormat="1" ht="18.5" x14ac:dyDescent="0.5">
      <c r="A47" s="88"/>
      <c r="B47" s="88"/>
      <c r="C47" s="88"/>
      <c r="D47" s="88"/>
      <c r="E47" s="90"/>
      <c r="F47" s="59" t="s">
        <v>37</v>
      </c>
      <c r="K47" s="106">
        <f t="shared" ref="K47:T47" si="8">+SUM(K48:K51)</f>
        <v>2267425.228571428</v>
      </c>
      <c r="L47" s="106">
        <f t="shared" si="8"/>
        <v>2499514.2000000002</v>
      </c>
      <c r="M47" s="106">
        <f t="shared" si="8"/>
        <v>2693817.8001000001</v>
      </c>
      <c r="N47" s="106">
        <f t="shared" si="8"/>
        <v>2821157.5431374996</v>
      </c>
      <c r="O47" s="106">
        <f t="shared" si="8"/>
        <v>2962215.4202943742</v>
      </c>
      <c r="P47" s="106">
        <f t="shared" si="8"/>
        <v>3110326.191309094</v>
      </c>
      <c r="Q47" s="106">
        <f t="shared" si="8"/>
        <v>3274352.3723828024</v>
      </c>
      <c r="R47" s="106">
        <f t="shared" si="8"/>
        <v>3429134.6259182752</v>
      </c>
      <c r="S47" s="106">
        <f t="shared" si="8"/>
        <v>3600591.357214191</v>
      </c>
      <c r="T47" s="106">
        <f t="shared" si="8"/>
        <v>3780620.9250749005</v>
      </c>
      <c r="W47" s="98">
        <f>+SUM(K47:T47)</f>
        <v>30439155.664002568</v>
      </c>
    </row>
    <row r="48" spans="1:29" ht="18" customHeight="1" x14ac:dyDescent="0.4">
      <c r="F48" s="58" t="s">
        <v>99</v>
      </c>
      <c r="H48" s="61"/>
      <c r="I48" s="66"/>
      <c r="K48" s="109">
        <f>+K34*K35*K36*K37</f>
        <v>2148225.228571428</v>
      </c>
      <c r="L48" s="109">
        <f t="shared" ref="L48:T48" si="9">+L34*L35*L36*L37</f>
        <v>2374354.2000000002</v>
      </c>
      <c r="M48" s="109">
        <f t="shared" si="9"/>
        <v>2562399.8001000001</v>
      </c>
      <c r="N48" s="109">
        <f t="shared" si="9"/>
        <v>2683168.6431374992</v>
      </c>
      <c r="O48" s="109">
        <f t="shared" si="9"/>
        <v>2817327.0752943745</v>
      </c>
      <c r="P48" s="109">
        <f t="shared" si="9"/>
        <v>2958193.4290590934</v>
      </c>
      <c r="Q48" s="109">
        <f t="shared" si="9"/>
        <v>3114612.972020302</v>
      </c>
      <c r="R48" s="109">
        <f t="shared" si="9"/>
        <v>3261408.2555376505</v>
      </c>
      <c r="S48" s="109">
        <f t="shared" si="9"/>
        <v>3424478.6683145347</v>
      </c>
      <c r="T48" s="109">
        <f t="shared" si="9"/>
        <v>3595702.601730261</v>
      </c>
    </row>
    <row r="49" spans="1:24" ht="18" customHeight="1" x14ac:dyDescent="0.4">
      <c r="F49" s="58" t="s">
        <v>101</v>
      </c>
      <c r="H49" s="61">
        <v>9333.3333333333339</v>
      </c>
      <c r="I49" s="66"/>
      <c r="K49" s="109">
        <f>+H49*12</f>
        <v>112000</v>
      </c>
      <c r="L49" s="109">
        <f t="shared" ref="L49:T49" si="10">+K49*(1+SUM($H$27:$H$28))</f>
        <v>117600</v>
      </c>
      <c r="M49" s="109">
        <f t="shared" si="10"/>
        <v>123480</v>
      </c>
      <c r="N49" s="109">
        <f t="shared" si="10"/>
        <v>129654</v>
      </c>
      <c r="O49" s="109">
        <f t="shared" si="10"/>
        <v>136136.70000000001</v>
      </c>
      <c r="P49" s="109">
        <f t="shared" si="10"/>
        <v>142943.53500000003</v>
      </c>
      <c r="Q49" s="109">
        <f t="shared" si="10"/>
        <v>150090.71175000005</v>
      </c>
      <c r="R49" s="109">
        <f t="shared" si="10"/>
        <v>157595.24733750004</v>
      </c>
      <c r="S49" s="109">
        <f t="shared" si="10"/>
        <v>165475.00970437506</v>
      </c>
      <c r="T49" s="109">
        <f t="shared" si="10"/>
        <v>173748.76018959383</v>
      </c>
    </row>
    <row r="50" spans="1:24" ht="18" customHeight="1" x14ac:dyDescent="0.4">
      <c r="F50" s="58" t="s">
        <v>102</v>
      </c>
      <c r="H50" s="61">
        <v>300</v>
      </c>
      <c r="I50" s="66"/>
      <c r="K50" s="109">
        <f>+H50*12</f>
        <v>3600</v>
      </c>
      <c r="L50" s="109">
        <f t="shared" ref="L50:T50" si="11">+K50*(1+SUM($H$27:$H$28))</f>
        <v>3780</v>
      </c>
      <c r="M50" s="109">
        <f t="shared" si="11"/>
        <v>3969</v>
      </c>
      <c r="N50" s="109">
        <f t="shared" si="11"/>
        <v>4167.45</v>
      </c>
      <c r="O50" s="109">
        <f t="shared" si="11"/>
        <v>4375.8225000000002</v>
      </c>
      <c r="P50" s="109">
        <f t="shared" si="11"/>
        <v>4594.6136250000009</v>
      </c>
      <c r="Q50" s="109">
        <f t="shared" si="11"/>
        <v>4824.344306250001</v>
      </c>
      <c r="R50" s="109">
        <f t="shared" si="11"/>
        <v>5065.5615215625012</v>
      </c>
      <c r="S50" s="109">
        <f t="shared" si="11"/>
        <v>5318.8395976406264</v>
      </c>
      <c r="T50" s="109">
        <f t="shared" si="11"/>
        <v>5584.7815775226582</v>
      </c>
    </row>
    <row r="51" spans="1:24" ht="18" customHeight="1" x14ac:dyDescent="0.4">
      <c r="F51" s="58" t="s">
        <v>121</v>
      </c>
      <c r="H51" s="61">
        <v>300</v>
      </c>
      <c r="I51" s="66"/>
      <c r="K51" s="109">
        <f>+H51*12</f>
        <v>3600</v>
      </c>
      <c r="L51" s="109">
        <f t="shared" ref="L51:T51" si="12">+K51*(1+SUM($H$27:$H$28))</f>
        <v>3780</v>
      </c>
      <c r="M51" s="109">
        <f t="shared" si="12"/>
        <v>3969</v>
      </c>
      <c r="N51" s="109">
        <f t="shared" si="12"/>
        <v>4167.45</v>
      </c>
      <c r="O51" s="109">
        <f t="shared" si="12"/>
        <v>4375.8225000000002</v>
      </c>
      <c r="P51" s="109">
        <f t="shared" si="12"/>
        <v>4594.6136250000009</v>
      </c>
      <c r="Q51" s="109">
        <f t="shared" si="12"/>
        <v>4824.344306250001</v>
      </c>
      <c r="R51" s="109">
        <f t="shared" si="12"/>
        <v>5065.5615215625012</v>
      </c>
      <c r="S51" s="109">
        <f t="shared" si="12"/>
        <v>5318.8395976406264</v>
      </c>
      <c r="T51" s="109">
        <f t="shared" si="12"/>
        <v>5584.7815775226582</v>
      </c>
    </row>
    <row r="52" spans="1:24" x14ac:dyDescent="0.4">
      <c r="H52" s="101"/>
      <c r="K52" s="108"/>
      <c r="L52" s="108"/>
      <c r="M52" s="108"/>
      <c r="N52" s="108"/>
      <c r="O52" s="108"/>
      <c r="P52" s="108"/>
      <c r="Q52" s="108"/>
      <c r="R52" s="108"/>
      <c r="S52" s="108"/>
      <c r="T52" s="108"/>
    </row>
    <row r="53" spans="1:24" x14ac:dyDescent="0.4">
      <c r="F53" s="100" t="s">
        <v>114</v>
      </c>
      <c r="G53" s="103"/>
      <c r="H53" s="102">
        <f>+K16/(K57/12)</f>
        <v>4.9931318681318677</v>
      </c>
      <c r="I53" s="91"/>
      <c r="J53" s="91"/>
      <c r="K53" s="110">
        <f>-(K21*56)*H53</f>
        <v>-363499.99999999994</v>
      </c>
      <c r="L53" s="110"/>
      <c r="M53" s="110"/>
      <c r="N53" s="110"/>
      <c r="O53" s="110"/>
      <c r="P53" s="110"/>
      <c r="Q53" s="110"/>
      <c r="R53" s="110"/>
      <c r="S53" s="110"/>
      <c r="T53" s="110"/>
    </row>
    <row r="54" spans="1:24" x14ac:dyDescent="0.4">
      <c r="K54" s="108"/>
      <c r="L54" s="108"/>
      <c r="M54" s="108"/>
      <c r="N54" s="108"/>
      <c r="O54" s="108"/>
      <c r="P54" s="108"/>
      <c r="Q54" s="108"/>
      <c r="R54" s="108"/>
      <c r="S54" s="108"/>
      <c r="T54" s="108"/>
    </row>
    <row r="55" spans="1:24" s="91" customFormat="1" ht="18.5" x14ac:dyDescent="0.5">
      <c r="A55" s="88"/>
      <c r="B55" s="88"/>
      <c r="C55" s="88"/>
      <c r="D55" s="88"/>
      <c r="E55" s="90"/>
      <c r="F55" s="59" t="s">
        <v>39</v>
      </c>
      <c r="K55" s="106">
        <f>+IF(K53&lt;0,MIN(K56:K58),MAX(K56:K58))</f>
        <v>510100.00000000006</v>
      </c>
      <c r="L55" s="106">
        <f t="shared" ref="L55:T55" si="13">+IF(L53&lt;0,MIN(L56:L58),MAX(L56:L58))</f>
        <v>940800</v>
      </c>
      <c r="M55" s="106">
        <f t="shared" si="13"/>
        <v>1034309.1200400001</v>
      </c>
      <c r="N55" s="106">
        <f t="shared" si="13"/>
        <v>1109999.1526863747</v>
      </c>
      <c r="O55" s="106">
        <f t="shared" si="13"/>
        <v>1165499.1103206933</v>
      </c>
      <c r="P55" s="106">
        <f t="shared" si="13"/>
        <v>1223774.0658367286</v>
      </c>
      <c r="Q55" s="106">
        <f t="shared" si="13"/>
        <v>1288451.8164469488</v>
      </c>
      <c r="R55" s="106">
        <f t="shared" si="13"/>
        <v>1349210.9075849927</v>
      </c>
      <c r="S55" s="106">
        <f t="shared" si="13"/>
        <v>1416671.4529642432</v>
      </c>
      <c r="T55" s="106">
        <f t="shared" si="13"/>
        <v>1487505.0256124556</v>
      </c>
      <c r="W55" s="98">
        <f>+SUM(K55:T55)</f>
        <v>11526320.651492435</v>
      </c>
    </row>
    <row r="56" spans="1:24" ht="18" customHeight="1" x14ac:dyDescent="0.4">
      <c r="F56" s="58" t="s">
        <v>46</v>
      </c>
      <c r="K56" s="108">
        <f>+K57+K53</f>
        <v>510100.00000000006</v>
      </c>
      <c r="L56" s="108">
        <f t="shared" ref="L56:T56" si="14">+L57+L53</f>
        <v>940800</v>
      </c>
      <c r="M56" s="108">
        <f t="shared" si="14"/>
        <v>1008000</v>
      </c>
      <c r="N56" s="108">
        <f t="shared" si="14"/>
        <v>1038240</v>
      </c>
      <c r="O56" s="108">
        <f t="shared" si="14"/>
        <v>1069387.2000000002</v>
      </c>
      <c r="P56" s="108">
        <f t="shared" si="14"/>
        <v>1101468.8160000001</v>
      </c>
      <c r="Q56" s="108">
        <f t="shared" si="14"/>
        <v>1134512.8804800003</v>
      </c>
      <c r="R56" s="108">
        <f t="shared" si="14"/>
        <v>1168548.2668944001</v>
      </c>
      <c r="S56" s="108">
        <f t="shared" si="14"/>
        <v>1203604.7149012324</v>
      </c>
      <c r="T56" s="108">
        <f t="shared" si="14"/>
        <v>1239712.8563482694</v>
      </c>
    </row>
    <row r="57" spans="1:24" ht="18" hidden="1" customHeight="1" x14ac:dyDescent="0.4">
      <c r="F57" s="58" t="s">
        <v>46</v>
      </c>
      <c r="K57" s="108">
        <f t="shared" ref="K57:T57" si="15">+K21*K36*12</f>
        <v>873600</v>
      </c>
      <c r="L57" s="108">
        <f t="shared" si="15"/>
        <v>940800</v>
      </c>
      <c r="M57" s="108">
        <f t="shared" si="15"/>
        <v>1008000</v>
      </c>
      <c r="N57" s="108">
        <f t="shared" si="15"/>
        <v>1038240</v>
      </c>
      <c r="O57" s="108">
        <f t="shared" si="15"/>
        <v>1069387.2000000002</v>
      </c>
      <c r="P57" s="108">
        <f t="shared" si="15"/>
        <v>1101468.8160000001</v>
      </c>
      <c r="Q57" s="108">
        <f t="shared" si="15"/>
        <v>1134512.8804800003</v>
      </c>
      <c r="R57" s="108">
        <f t="shared" si="15"/>
        <v>1168548.2668944001</v>
      </c>
      <c r="S57" s="108">
        <f t="shared" si="15"/>
        <v>1203604.7149012324</v>
      </c>
      <c r="T57" s="108">
        <f t="shared" si="15"/>
        <v>1239712.8563482694</v>
      </c>
    </row>
    <row r="58" spans="1:24" ht="18" customHeight="1" x14ac:dyDescent="0.4">
      <c r="F58" s="58" t="s">
        <v>40</v>
      </c>
      <c r="I58" s="63"/>
      <c r="K58" s="108">
        <f>+(K24*(K48+K50+K51))+(K49*$K$25)</f>
        <v>803107.33457142836</v>
      </c>
      <c r="L58" s="108">
        <f t="shared" ref="L58:T58" si="16">+L24*(L48+L50+L51)+(L49*$K$25)</f>
        <v>911007.39600000007</v>
      </c>
      <c r="M58" s="108">
        <f t="shared" si="16"/>
        <v>1034309.1200400001</v>
      </c>
      <c r="N58" s="108">
        <f t="shared" si="16"/>
        <v>1109999.1526863747</v>
      </c>
      <c r="O58" s="108">
        <f t="shared" si="16"/>
        <v>1165499.1103206933</v>
      </c>
      <c r="P58" s="108">
        <f t="shared" si="16"/>
        <v>1223774.0658367286</v>
      </c>
      <c r="Q58" s="108">
        <f t="shared" si="16"/>
        <v>1288451.8164469488</v>
      </c>
      <c r="R58" s="108">
        <f t="shared" si="16"/>
        <v>1349210.9075849927</v>
      </c>
      <c r="S58" s="108">
        <f t="shared" si="16"/>
        <v>1416671.4529642432</v>
      </c>
      <c r="T58" s="108">
        <f t="shared" si="16"/>
        <v>1487505.0256124556</v>
      </c>
    </row>
    <row r="59" spans="1:24" x14ac:dyDescent="0.4">
      <c r="K59" s="111"/>
      <c r="L59" s="111"/>
      <c r="M59" s="111"/>
      <c r="N59" s="111"/>
      <c r="O59" s="111"/>
      <c r="P59" s="111"/>
      <c r="Q59" s="111"/>
      <c r="R59" s="111"/>
      <c r="S59" s="111"/>
      <c r="T59" s="111"/>
    </row>
    <row r="60" spans="1:24" x14ac:dyDescent="0.4">
      <c r="K60" s="52"/>
      <c r="L60" s="52"/>
      <c r="M60" s="52"/>
      <c r="N60" s="52"/>
      <c r="O60" s="52"/>
      <c r="P60" s="52"/>
      <c r="Q60" s="52"/>
      <c r="R60" s="52"/>
      <c r="S60" s="52"/>
      <c r="T60" s="52"/>
    </row>
    <row r="61" spans="1:24" s="53" customFormat="1" x14ac:dyDescent="0.4">
      <c r="A61" s="36"/>
      <c r="B61" s="36"/>
      <c r="C61" s="36"/>
      <c r="D61" s="36"/>
      <c r="E61" s="72"/>
      <c r="K61" s="54"/>
      <c r="L61" s="54"/>
      <c r="M61" s="54"/>
      <c r="N61" s="54"/>
      <c r="O61" s="54"/>
      <c r="P61" s="54"/>
      <c r="Q61" s="54"/>
      <c r="R61" s="54"/>
      <c r="S61" s="54"/>
      <c r="T61" s="54"/>
      <c r="W61" s="72"/>
    </row>
    <row r="62" spans="1:24" s="85" customFormat="1" x14ac:dyDescent="0.4">
      <c r="A62" s="83"/>
      <c r="B62" s="83"/>
      <c r="C62" s="83"/>
      <c r="D62" s="83"/>
      <c r="E62" s="84"/>
      <c r="F62" s="87" t="s">
        <v>110</v>
      </c>
      <c r="H62" s="86">
        <f>+K36*K35*K34</f>
        <v>15534.4</v>
      </c>
      <c r="L62" s="86"/>
      <c r="M62" s="86"/>
      <c r="N62" s="86"/>
      <c r="O62" s="86"/>
      <c r="P62" s="86"/>
      <c r="Q62" s="86"/>
      <c r="R62" s="86"/>
      <c r="S62" s="86"/>
      <c r="T62" s="86"/>
      <c r="W62" s="69"/>
    </row>
    <row r="63" spans="1:24" x14ac:dyDescent="0.4">
      <c r="K63" s="52"/>
      <c r="L63" s="52"/>
      <c r="M63" s="52"/>
      <c r="N63" s="52"/>
      <c r="O63" s="52"/>
      <c r="P63" s="52"/>
      <c r="Q63" s="52"/>
      <c r="R63" s="52"/>
      <c r="S63" s="52"/>
    </row>
    <row r="64" spans="1:24" s="91" customFormat="1" ht="18.5" x14ac:dyDescent="0.5">
      <c r="A64" s="88"/>
      <c r="B64" s="88"/>
      <c r="C64" s="88"/>
      <c r="D64" s="88"/>
      <c r="E64" s="96" t="s">
        <v>111</v>
      </c>
      <c r="F64" s="59" t="s">
        <v>38</v>
      </c>
      <c r="H64" s="115" t="s">
        <v>120</v>
      </c>
      <c r="I64" s="97"/>
      <c r="K64" s="95">
        <f t="shared" ref="K64:T64" si="17">+K65+K66+K70+K74+K79+K90+K94+K95+K97+K98+K101</f>
        <v>1165698.3023400649</v>
      </c>
      <c r="L64" s="95">
        <f t="shared" si="17"/>
        <v>1200669.2514102669</v>
      </c>
      <c r="M64" s="95">
        <f t="shared" si="17"/>
        <v>1236689.3289525749</v>
      </c>
      <c r="N64" s="95">
        <f t="shared" si="17"/>
        <v>1273790.0088211524</v>
      </c>
      <c r="O64" s="95">
        <f t="shared" si="17"/>
        <v>1312003.7090857867</v>
      </c>
      <c r="P64" s="95">
        <f t="shared" si="17"/>
        <v>1351363.8203583602</v>
      </c>
      <c r="Q64" s="95">
        <f t="shared" si="17"/>
        <v>1391904.7349691114</v>
      </c>
      <c r="R64" s="95">
        <f t="shared" si="17"/>
        <v>1433661.8770181849</v>
      </c>
      <c r="S64" s="95">
        <f t="shared" si="17"/>
        <v>1476671.7333287303</v>
      </c>
      <c r="T64" s="95">
        <f t="shared" si="17"/>
        <v>1520971.8853285923</v>
      </c>
      <c r="W64" s="98">
        <f>+SUM(K64:T64)</f>
        <v>13363424.651612826</v>
      </c>
      <c r="X64" s="97">
        <f>+K64/K47</f>
        <v>0.51410661205110753</v>
      </c>
    </row>
    <row r="65" spans="1:20" ht="18" customHeight="1" x14ac:dyDescent="0.4">
      <c r="E65" s="80">
        <v>1</v>
      </c>
      <c r="F65" s="64" t="s">
        <v>52</v>
      </c>
      <c r="H65" s="73">
        <v>2750</v>
      </c>
      <c r="I65" s="66" t="s">
        <v>88</v>
      </c>
      <c r="K65" s="65">
        <f>+$H65*$E65*12</f>
        <v>33000</v>
      </c>
      <c r="L65" s="65">
        <f>+K65*(1+$H$27)</f>
        <v>33990</v>
      </c>
      <c r="M65" s="65">
        <f t="shared" ref="M65:T65" si="18">+L65*(1+$H$27)</f>
        <v>35009.700000000004</v>
      </c>
      <c r="N65" s="65">
        <f t="shared" si="18"/>
        <v>36059.991000000002</v>
      </c>
      <c r="O65" s="65">
        <f t="shared" si="18"/>
        <v>37141.790730000001</v>
      </c>
      <c r="P65" s="65">
        <f t="shared" si="18"/>
        <v>38256.044451900001</v>
      </c>
      <c r="Q65" s="65">
        <f t="shared" si="18"/>
        <v>39403.725785457005</v>
      </c>
      <c r="R65" s="65">
        <f t="shared" si="18"/>
        <v>40585.837559020714</v>
      </c>
      <c r="S65" s="65">
        <f t="shared" si="18"/>
        <v>41803.412685791336</v>
      </c>
      <c r="T65" s="65">
        <f t="shared" si="18"/>
        <v>43057.515066365078</v>
      </c>
    </row>
    <row r="66" spans="1:20" ht="18" customHeight="1" x14ac:dyDescent="0.4">
      <c r="A66" s="68" t="s">
        <v>88</v>
      </c>
      <c r="B66" s="67" t="s">
        <v>89</v>
      </c>
      <c r="E66" s="75"/>
      <c r="F66" s="64" t="s">
        <v>53</v>
      </c>
      <c r="H66" s="74"/>
      <c r="I66" s="66"/>
      <c r="K66" s="65">
        <f>+SUM(K67:K69)</f>
        <v>286841.28000000003</v>
      </c>
      <c r="L66" s="65">
        <f t="shared" ref="L66:T81" si="19">+K66*(1+$H$27)</f>
        <v>295446.51840000006</v>
      </c>
      <c r="M66" s="65">
        <f t="shared" si="19"/>
        <v>304309.91395200009</v>
      </c>
      <c r="N66" s="65">
        <f t="shared" si="19"/>
        <v>313439.21137056011</v>
      </c>
      <c r="O66" s="65">
        <f t="shared" si="19"/>
        <v>322842.38771167694</v>
      </c>
      <c r="P66" s="65">
        <f t="shared" si="19"/>
        <v>332527.65934302728</v>
      </c>
      <c r="Q66" s="65">
        <f t="shared" si="19"/>
        <v>342503.48912331811</v>
      </c>
      <c r="R66" s="65">
        <f t="shared" si="19"/>
        <v>352778.59379701765</v>
      </c>
      <c r="S66" s="65">
        <f t="shared" si="19"/>
        <v>363361.95161092817</v>
      </c>
      <c r="T66" s="65">
        <f t="shared" si="19"/>
        <v>374262.81015925604</v>
      </c>
    </row>
    <row r="67" spans="1:20" ht="18" customHeight="1" x14ac:dyDescent="0.4">
      <c r="A67" s="68" t="s">
        <v>90</v>
      </c>
      <c r="B67" s="67" t="s">
        <v>91</v>
      </c>
      <c r="E67" s="80">
        <v>1</v>
      </c>
      <c r="F67" s="58" t="s">
        <v>54</v>
      </c>
      <c r="H67" s="73">
        <v>2350</v>
      </c>
      <c r="I67" s="66" t="s">
        <v>88</v>
      </c>
      <c r="K67" s="57">
        <f>+$H67*$E67*12</f>
        <v>28200</v>
      </c>
      <c r="L67" s="57">
        <f t="shared" si="19"/>
        <v>29046</v>
      </c>
      <c r="M67" s="57">
        <f t="shared" si="19"/>
        <v>29917.38</v>
      </c>
      <c r="N67" s="57">
        <f t="shared" si="19"/>
        <v>30814.901400000002</v>
      </c>
      <c r="O67" s="57">
        <f t="shared" si="19"/>
        <v>31739.348442000002</v>
      </c>
      <c r="P67" s="57">
        <f t="shared" si="19"/>
        <v>32691.528895260002</v>
      </c>
      <c r="Q67" s="57">
        <f t="shared" si="19"/>
        <v>33672.274762117806</v>
      </c>
      <c r="R67" s="57">
        <f t="shared" si="19"/>
        <v>34682.443004981338</v>
      </c>
      <c r="S67" s="57">
        <f t="shared" si="19"/>
        <v>35722.916295130781</v>
      </c>
      <c r="T67" s="57">
        <f t="shared" si="19"/>
        <v>36794.603783984705</v>
      </c>
    </row>
    <row r="68" spans="1:20" ht="18" customHeight="1" x14ac:dyDescent="0.4">
      <c r="A68" s="68" t="s">
        <v>92</v>
      </c>
      <c r="B68" s="67" t="s">
        <v>93</v>
      </c>
      <c r="E68" s="80">
        <v>10</v>
      </c>
      <c r="F68" s="58" t="s">
        <v>55</v>
      </c>
      <c r="H68" s="73">
        <v>2000</v>
      </c>
      <c r="I68" s="66" t="s">
        <v>88</v>
      </c>
      <c r="K68" s="57">
        <f>+$H68*$E68*12</f>
        <v>240000</v>
      </c>
      <c r="L68" s="57">
        <f t="shared" si="19"/>
        <v>247200</v>
      </c>
      <c r="M68" s="57">
        <f t="shared" si="19"/>
        <v>254616</v>
      </c>
      <c r="N68" s="57">
        <f t="shared" si="19"/>
        <v>262254.48</v>
      </c>
      <c r="O68" s="57">
        <f t="shared" si="19"/>
        <v>270122.11439999996</v>
      </c>
      <c r="P68" s="57">
        <f t="shared" si="19"/>
        <v>278225.77783199999</v>
      </c>
      <c r="Q68" s="57">
        <f t="shared" si="19"/>
        <v>286572.55116695998</v>
      </c>
      <c r="R68" s="57">
        <f t="shared" si="19"/>
        <v>295169.7277019688</v>
      </c>
      <c r="S68" s="57">
        <f t="shared" si="19"/>
        <v>304024.81953302788</v>
      </c>
      <c r="T68" s="57">
        <f t="shared" si="19"/>
        <v>313145.56411901873</v>
      </c>
    </row>
    <row r="69" spans="1:20" ht="18" customHeight="1" x14ac:dyDescent="0.4">
      <c r="E69" s="75"/>
      <c r="F69" s="58" t="s">
        <v>56</v>
      </c>
      <c r="H69" s="73">
        <v>1.2</v>
      </c>
      <c r="I69" s="66" t="s">
        <v>92</v>
      </c>
      <c r="K69" s="57">
        <f>+$H69*$H$62</f>
        <v>18641.28</v>
      </c>
      <c r="L69" s="57">
        <f t="shared" si="19"/>
        <v>19200.518400000001</v>
      </c>
      <c r="M69" s="57">
        <f t="shared" si="19"/>
        <v>19776.533952000002</v>
      </c>
      <c r="N69" s="57">
        <f t="shared" si="19"/>
        <v>20369.829970560004</v>
      </c>
      <c r="O69" s="57">
        <f t="shared" si="19"/>
        <v>20980.924869676805</v>
      </c>
      <c r="P69" s="57">
        <f t="shared" si="19"/>
        <v>21610.352615767108</v>
      </c>
      <c r="Q69" s="57">
        <f t="shared" si="19"/>
        <v>22258.663194240122</v>
      </c>
      <c r="R69" s="57">
        <f t="shared" si="19"/>
        <v>22926.423090067325</v>
      </c>
      <c r="S69" s="57">
        <f t="shared" si="19"/>
        <v>23614.215782769345</v>
      </c>
      <c r="T69" s="57">
        <f t="shared" si="19"/>
        <v>24322.642256252424</v>
      </c>
    </row>
    <row r="70" spans="1:20" ht="18" customHeight="1" x14ac:dyDescent="0.4">
      <c r="E70" s="75"/>
      <c r="F70" s="64" t="s">
        <v>57</v>
      </c>
      <c r="H70" s="74"/>
      <c r="I70" s="66"/>
      <c r="K70" s="65">
        <f>+SUM(K71:K73)</f>
        <v>37837.040000000001</v>
      </c>
      <c r="L70" s="65">
        <f t="shared" si="19"/>
        <v>38972.1512</v>
      </c>
      <c r="M70" s="65">
        <f t="shared" si="19"/>
        <v>40141.315736000004</v>
      </c>
      <c r="N70" s="65">
        <f t="shared" si="19"/>
        <v>41345.555208080004</v>
      </c>
      <c r="O70" s="65">
        <f t="shared" si="19"/>
        <v>42585.921864322409</v>
      </c>
      <c r="P70" s="65">
        <f t="shared" si="19"/>
        <v>43863.49952025208</v>
      </c>
      <c r="Q70" s="65">
        <f t="shared" si="19"/>
        <v>45179.404505859646</v>
      </c>
      <c r="R70" s="65">
        <f t="shared" si="19"/>
        <v>46534.786641035433</v>
      </c>
      <c r="S70" s="65">
        <f t="shared" si="19"/>
        <v>47930.830240266499</v>
      </c>
      <c r="T70" s="65">
        <f t="shared" si="19"/>
        <v>49368.755147474498</v>
      </c>
    </row>
    <row r="71" spans="1:20" ht="18" customHeight="1" x14ac:dyDescent="0.4">
      <c r="E71" s="75"/>
      <c r="F71" s="58" t="s">
        <v>58</v>
      </c>
      <c r="H71" s="73">
        <v>500</v>
      </c>
      <c r="I71" s="66" t="s">
        <v>88</v>
      </c>
      <c r="K71" s="57">
        <f>+H71*12</f>
        <v>6000</v>
      </c>
      <c r="L71" s="57">
        <f t="shared" si="19"/>
        <v>6180</v>
      </c>
      <c r="M71" s="57">
        <f t="shared" si="19"/>
        <v>6365.4000000000005</v>
      </c>
      <c r="N71" s="57">
        <f t="shared" si="19"/>
        <v>6556.362000000001</v>
      </c>
      <c r="O71" s="57">
        <f t="shared" si="19"/>
        <v>6753.0528600000016</v>
      </c>
      <c r="P71" s="57">
        <f t="shared" si="19"/>
        <v>6955.6444458000014</v>
      </c>
      <c r="Q71" s="57">
        <f t="shared" si="19"/>
        <v>7164.3137791740019</v>
      </c>
      <c r="R71" s="57">
        <f t="shared" si="19"/>
        <v>7379.2431925492219</v>
      </c>
      <c r="S71" s="57">
        <f t="shared" si="19"/>
        <v>7600.6204883256987</v>
      </c>
      <c r="T71" s="57">
        <f t="shared" si="19"/>
        <v>7828.6391029754695</v>
      </c>
    </row>
    <row r="72" spans="1:20" ht="18" customHeight="1" x14ac:dyDescent="0.4">
      <c r="E72" s="80">
        <v>1</v>
      </c>
      <c r="F72" s="58" t="s">
        <v>59</v>
      </c>
      <c r="H72" s="73">
        <v>2200</v>
      </c>
      <c r="I72" s="66" t="s">
        <v>88</v>
      </c>
      <c r="K72" s="57">
        <f>+$H72*$E72*12</f>
        <v>26400</v>
      </c>
      <c r="L72" s="57">
        <f t="shared" si="19"/>
        <v>27192</v>
      </c>
      <c r="M72" s="57">
        <f t="shared" si="19"/>
        <v>28007.760000000002</v>
      </c>
      <c r="N72" s="57">
        <f t="shared" si="19"/>
        <v>28847.992800000004</v>
      </c>
      <c r="O72" s="57">
        <f t="shared" si="19"/>
        <v>29713.432584000006</v>
      </c>
      <c r="P72" s="57">
        <f t="shared" si="19"/>
        <v>30604.835561520005</v>
      </c>
      <c r="Q72" s="57">
        <f t="shared" si="19"/>
        <v>31522.980628365607</v>
      </c>
      <c r="R72" s="57">
        <f t="shared" si="19"/>
        <v>32468.670047216576</v>
      </c>
      <c r="S72" s="57">
        <f t="shared" si="19"/>
        <v>33442.730148633076</v>
      </c>
      <c r="T72" s="57">
        <f t="shared" si="19"/>
        <v>34446.012053092069</v>
      </c>
    </row>
    <row r="73" spans="1:20" ht="18" customHeight="1" x14ac:dyDescent="0.4">
      <c r="E73" s="75"/>
      <c r="F73" s="58" t="s">
        <v>60</v>
      </c>
      <c r="H73" s="73">
        <v>0.35</v>
      </c>
      <c r="I73" s="66" t="s">
        <v>92</v>
      </c>
      <c r="K73" s="57">
        <f>+$H73*$H$62</f>
        <v>5437.04</v>
      </c>
      <c r="L73" s="57">
        <f t="shared" si="19"/>
        <v>5600.1512000000002</v>
      </c>
      <c r="M73" s="57">
        <f t="shared" si="19"/>
        <v>5768.1557360000006</v>
      </c>
      <c r="N73" s="57">
        <f t="shared" si="19"/>
        <v>5941.2004080800007</v>
      </c>
      <c r="O73" s="57">
        <f t="shared" si="19"/>
        <v>6119.4364203224004</v>
      </c>
      <c r="P73" s="57">
        <f t="shared" si="19"/>
        <v>6303.0195129320728</v>
      </c>
      <c r="Q73" s="57">
        <f t="shared" si="19"/>
        <v>6492.1100983200349</v>
      </c>
      <c r="R73" s="57">
        <f t="shared" si="19"/>
        <v>6686.8734012696359</v>
      </c>
      <c r="S73" s="57">
        <f t="shared" si="19"/>
        <v>6887.4796033077255</v>
      </c>
      <c r="T73" s="57">
        <f t="shared" si="19"/>
        <v>7094.103991406957</v>
      </c>
    </row>
    <row r="74" spans="1:20" ht="18" customHeight="1" x14ac:dyDescent="0.4">
      <c r="E74" s="75"/>
      <c r="F74" s="64" t="s">
        <v>61</v>
      </c>
      <c r="H74" s="74"/>
      <c r="I74" s="66"/>
      <c r="K74" s="65">
        <f>+SUM(K75:K78)</f>
        <v>70789.630714285711</v>
      </c>
      <c r="L74" s="65">
        <f t="shared" si="19"/>
        <v>72913.319635714288</v>
      </c>
      <c r="M74" s="65">
        <f t="shared" si="19"/>
        <v>75100.719224785717</v>
      </c>
      <c r="N74" s="65">
        <f t="shared" si="19"/>
        <v>77353.740801529289</v>
      </c>
      <c r="O74" s="65">
        <f t="shared" si="19"/>
        <v>79674.353025575168</v>
      </c>
      <c r="P74" s="65">
        <f t="shared" si="19"/>
        <v>82064.583616342425</v>
      </c>
      <c r="Q74" s="65">
        <f t="shared" si="19"/>
        <v>84526.521124832696</v>
      </c>
      <c r="R74" s="65">
        <f t="shared" si="19"/>
        <v>87062.316758577683</v>
      </c>
      <c r="S74" s="65">
        <f t="shared" si="19"/>
        <v>89674.186261335009</v>
      </c>
      <c r="T74" s="65">
        <f t="shared" si="19"/>
        <v>92364.411849175056</v>
      </c>
    </row>
    <row r="75" spans="1:20" ht="18" customHeight="1" x14ac:dyDescent="0.4">
      <c r="E75" s="75"/>
      <c r="F75" s="58" t="s">
        <v>62</v>
      </c>
      <c r="H75" s="112">
        <v>2.5000000000000001E-2</v>
      </c>
      <c r="I75" s="66" t="s">
        <v>90</v>
      </c>
      <c r="K75" s="57">
        <f>+$H75*K$47</f>
        <v>56685.630714285704</v>
      </c>
      <c r="L75" s="57">
        <f t="shared" si="19"/>
        <v>58386.199635714278</v>
      </c>
      <c r="M75" s="57">
        <f t="shared" si="19"/>
        <v>60137.785624785705</v>
      </c>
      <c r="N75" s="57">
        <f t="shared" si="19"/>
        <v>61941.919193529277</v>
      </c>
      <c r="O75" s="57">
        <f t="shared" si="19"/>
        <v>63800.176769335158</v>
      </c>
      <c r="P75" s="57">
        <f t="shared" si="19"/>
        <v>65714.18207241522</v>
      </c>
      <c r="Q75" s="57">
        <f t="shared" si="19"/>
        <v>67685.607534587674</v>
      </c>
      <c r="R75" s="57">
        <f t="shared" si="19"/>
        <v>69716.175760625309</v>
      </c>
      <c r="S75" s="57">
        <f t="shared" si="19"/>
        <v>71807.661033444063</v>
      </c>
      <c r="T75" s="57">
        <f t="shared" si="19"/>
        <v>73961.890864447385</v>
      </c>
    </row>
    <row r="76" spans="1:20" ht="18" customHeight="1" x14ac:dyDescent="0.4">
      <c r="E76" s="80">
        <v>0.5</v>
      </c>
      <c r="F76" s="58" t="s">
        <v>63</v>
      </c>
      <c r="H76" s="73">
        <v>2200</v>
      </c>
      <c r="I76" s="66" t="s">
        <v>88</v>
      </c>
      <c r="K76" s="57">
        <f>+$H76*$E76*12</f>
        <v>13200</v>
      </c>
      <c r="L76" s="57">
        <f t="shared" si="19"/>
        <v>13596</v>
      </c>
      <c r="M76" s="57">
        <f t="shared" si="19"/>
        <v>14003.880000000001</v>
      </c>
      <c r="N76" s="57">
        <f t="shared" si="19"/>
        <v>14423.996400000002</v>
      </c>
      <c r="O76" s="57">
        <f t="shared" si="19"/>
        <v>14856.716292000003</v>
      </c>
      <c r="P76" s="57">
        <f t="shared" si="19"/>
        <v>15302.417780760003</v>
      </c>
      <c r="Q76" s="57">
        <f t="shared" si="19"/>
        <v>15761.490314182804</v>
      </c>
      <c r="R76" s="57">
        <f t="shared" si="19"/>
        <v>16234.335023608288</v>
      </c>
      <c r="S76" s="57">
        <f t="shared" si="19"/>
        <v>16721.365074316538</v>
      </c>
      <c r="T76" s="57">
        <f t="shared" si="19"/>
        <v>17223.006026546034</v>
      </c>
    </row>
    <row r="77" spans="1:20" ht="18" customHeight="1" x14ac:dyDescent="0.4">
      <c r="E77" s="75"/>
      <c r="F77" s="58" t="s">
        <v>64</v>
      </c>
      <c r="H77" s="76">
        <v>0.14000000000000001</v>
      </c>
      <c r="I77" s="66" t="s">
        <v>96</v>
      </c>
      <c r="K77" s="57">
        <f>+$H77*K$50</f>
        <v>504.00000000000006</v>
      </c>
      <c r="L77" s="57">
        <f t="shared" si="19"/>
        <v>519.12000000000012</v>
      </c>
      <c r="M77" s="57">
        <f t="shared" si="19"/>
        <v>534.69360000000017</v>
      </c>
      <c r="N77" s="57">
        <f t="shared" si="19"/>
        <v>550.73440800000014</v>
      </c>
      <c r="O77" s="57">
        <f t="shared" si="19"/>
        <v>567.25644024000019</v>
      </c>
      <c r="P77" s="57">
        <f t="shared" si="19"/>
        <v>584.27413344720026</v>
      </c>
      <c r="Q77" s="57">
        <f t="shared" si="19"/>
        <v>601.80235745061623</v>
      </c>
      <c r="R77" s="57">
        <f t="shared" si="19"/>
        <v>619.85642817413475</v>
      </c>
      <c r="S77" s="57">
        <f t="shared" si="19"/>
        <v>638.45212101935886</v>
      </c>
      <c r="T77" s="57">
        <f t="shared" si="19"/>
        <v>657.60568464993969</v>
      </c>
    </row>
    <row r="78" spans="1:20" ht="18" customHeight="1" x14ac:dyDescent="0.4">
      <c r="E78" s="75"/>
      <c r="F78" s="58" t="s">
        <v>65</v>
      </c>
      <c r="H78" s="73">
        <v>33.333333333333336</v>
      </c>
      <c r="I78" s="66" t="s">
        <v>88</v>
      </c>
      <c r="K78" s="57">
        <f>+H78*12</f>
        <v>400</v>
      </c>
      <c r="L78" s="57">
        <f t="shared" si="19"/>
        <v>412</v>
      </c>
      <c r="M78" s="57">
        <f t="shared" si="19"/>
        <v>424.36</v>
      </c>
      <c r="N78" s="57">
        <f t="shared" si="19"/>
        <v>437.0908</v>
      </c>
      <c r="O78" s="57">
        <f t="shared" si="19"/>
        <v>450.20352400000002</v>
      </c>
      <c r="P78" s="57">
        <f t="shared" si="19"/>
        <v>463.70962972000001</v>
      </c>
      <c r="Q78" s="57">
        <f t="shared" si="19"/>
        <v>477.62091861160002</v>
      </c>
      <c r="R78" s="57">
        <f t="shared" si="19"/>
        <v>491.94954616994801</v>
      </c>
      <c r="S78" s="57">
        <f t="shared" si="19"/>
        <v>506.70803255504649</v>
      </c>
      <c r="T78" s="57">
        <f t="shared" si="19"/>
        <v>521.90927353169786</v>
      </c>
    </row>
    <row r="79" spans="1:20" ht="18" customHeight="1" x14ac:dyDescent="0.4">
      <c r="E79" s="75"/>
      <c r="F79" s="64" t="s">
        <v>66</v>
      </c>
      <c r="H79" s="74"/>
      <c r="I79" s="66"/>
      <c r="K79" s="65">
        <f>+SUM(K80:K89)</f>
        <v>89838.555028571413</v>
      </c>
      <c r="L79" s="65">
        <f t="shared" si="19"/>
        <v>92533.711679428554</v>
      </c>
      <c r="M79" s="65">
        <f t="shared" si="19"/>
        <v>95309.723029811415</v>
      </c>
      <c r="N79" s="65">
        <f t="shared" si="19"/>
        <v>98169.01472070576</v>
      </c>
      <c r="O79" s="65">
        <f t="shared" si="19"/>
        <v>101114.08516232694</v>
      </c>
      <c r="P79" s="65">
        <f t="shared" si="19"/>
        <v>104147.50771719676</v>
      </c>
      <c r="Q79" s="65">
        <f t="shared" si="19"/>
        <v>107271.93294871267</v>
      </c>
      <c r="R79" s="65">
        <f t="shared" si="19"/>
        <v>110490.09093717406</v>
      </c>
      <c r="S79" s="65">
        <f t="shared" si="19"/>
        <v>113804.79366528928</v>
      </c>
      <c r="T79" s="65">
        <f t="shared" si="19"/>
        <v>117218.93747524796</v>
      </c>
    </row>
    <row r="80" spans="1:20" ht="18" customHeight="1" x14ac:dyDescent="0.4">
      <c r="E80" s="75"/>
      <c r="F80" s="58" t="s">
        <v>67</v>
      </c>
      <c r="H80" s="73">
        <v>0.5</v>
      </c>
      <c r="I80" s="66" t="s">
        <v>92</v>
      </c>
      <c r="K80" s="57">
        <f>+$H80*$H$62</f>
        <v>7767.2</v>
      </c>
      <c r="L80" s="57">
        <f t="shared" si="19"/>
        <v>8000.2160000000003</v>
      </c>
      <c r="M80" s="57">
        <f t="shared" si="19"/>
        <v>8240.2224800000004</v>
      </c>
      <c r="N80" s="57">
        <f t="shared" si="19"/>
        <v>8487.4291544000007</v>
      </c>
      <c r="O80" s="57">
        <f t="shared" si="19"/>
        <v>8742.0520290320001</v>
      </c>
      <c r="P80" s="57">
        <f t="shared" si="19"/>
        <v>9004.3135899029603</v>
      </c>
      <c r="Q80" s="57">
        <f t="shared" si="19"/>
        <v>9274.4429976000501</v>
      </c>
      <c r="R80" s="57">
        <f t="shared" si="19"/>
        <v>9552.676287528051</v>
      </c>
      <c r="S80" s="57">
        <f t="shared" si="19"/>
        <v>9839.2565761538935</v>
      </c>
      <c r="T80" s="57">
        <f t="shared" si="19"/>
        <v>10134.43427343851</v>
      </c>
    </row>
    <row r="81" spans="5:20" ht="18" customHeight="1" x14ac:dyDescent="0.4">
      <c r="E81" s="75"/>
      <c r="F81" s="58" t="s">
        <v>68</v>
      </c>
      <c r="H81" s="73">
        <v>65</v>
      </c>
      <c r="I81" s="66" t="s">
        <v>88</v>
      </c>
      <c r="K81" s="57">
        <f t="shared" ref="K81:K85" si="20">+H81*12</f>
        <v>780</v>
      </c>
      <c r="L81" s="57">
        <f t="shared" si="19"/>
        <v>803.4</v>
      </c>
      <c r="M81" s="57">
        <f t="shared" si="19"/>
        <v>827.50199999999995</v>
      </c>
      <c r="N81" s="57">
        <f t="shared" si="19"/>
        <v>852.32705999999996</v>
      </c>
      <c r="O81" s="57">
        <f t="shared" si="19"/>
        <v>877.89687179999999</v>
      </c>
      <c r="P81" s="57">
        <f t="shared" si="19"/>
        <v>904.23377795400006</v>
      </c>
      <c r="Q81" s="57">
        <f t="shared" si="19"/>
        <v>931.36079129262009</v>
      </c>
      <c r="R81" s="57">
        <f t="shared" si="19"/>
        <v>959.30161503139868</v>
      </c>
      <c r="S81" s="57">
        <f t="shared" si="19"/>
        <v>988.0806634823407</v>
      </c>
      <c r="T81" s="57">
        <f t="shared" si="19"/>
        <v>1017.7230833868109</v>
      </c>
    </row>
    <row r="82" spans="5:20" ht="18" customHeight="1" x14ac:dyDescent="0.4">
      <c r="E82" s="75"/>
      <c r="F82" s="58" t="s">
        <v>69</v>
      </c>
      <c r="H82" s="81">
        <v>1250</v>
      </c>
      <c r="I82" s="66" t="s">
        <v>88</v>
      </c>
      <c r="K82" s="57">
        <f t="shared" si="20"/>
        <v>15000</v>
      </c>
      <c r="L82" s="57">
        <f t="shared" ref="L82:T97" si="21">+K82*(1+$H$27)</f>
        <v>15450</v>
      </c>
      <c r="M82" s="57">
        <f t="shared" si="21"/>
        <v>15913.5</v>
      </c>
      <c r="N82" s="57">
        <f t="shared" si="21"/>
        <v>16390.904999999999</v>
      </c>
      <c r="O82" s="57">
        <f t="shared" si="21"/>
        <v>16882.632149999998</v>
      </c>
      <c r="P82" s="57">
        <f t="shared" si="21"/>
        <v>17389.1111145</v>
      </c>
      <c r="Q82" s="57">
        <f t="shared" si="21"/>
        <v>17910.784447934999</v>
      </c>
      <c r="R82" s="57">
        <f t="shared" si="21"/>
        <v>18448.10798137305</v>
      </c>
      <c r="S82" s="57">
        <f t="shared" si="21"/>
        <v>19001.551220814243</v>
      </c>
      <c r="T82" s="57">
        <f t="shared" si="21"/>
        <v>19571.597757438671</v>
      </c>
    </row>
    <row r="83" spans="5:20" ht="18" customHeight="1" x14ac:dyDescent="0.4">
      <c r="E83" s="75"/>
      <c r="F83" s="58" t="s">
        <v>70</v>
      </c>
      <c r="H83" s="73">
        <v>0</v>
      </c>
      <c r="I83" s="66" t="s">
        <v>88</v>
      </c>
      <c r="K83" s="57">
        <f t="shared" si="20"/>
        <v>0</v>
      </c>
      <c r="L83" s="57">
        <f t="shared" si="21"/>
        <v>0</v>
      </c>
      <c r="M83" s="57">
        <f t="shared" si="21"/>
        <v>0</v>
      </c>
      <c r="N83" s="57">
        <f t="shared" si="21"/>
        <v>0</v>
      </c>
      <c r="O83" s="57">
        <f t="shared" si="21"/>
        <v>0</v>
      </c>
      <c r="P83" s="57">
        <f t="shared" si="21"/>
        <v>0</v>
      </c>
      <c r="Q83" s="57">
        <f t="shared" si="21"/>
        <v>0</v>
      </c>
      <c r="R83" s="57">
        <f t="shared" si="21"/>
        <v>0</v>
      </c>
      <c r="S83" s="57">
        <f t="shared" si="21"/>
        <v>0</v>
      </c>
      <c r="T83" s="57">
        <f t="shared" si="21"/>
        <v>0</v>
      </c>
    </row>
    <row r="84" spans="5:20" ht="18" customHeight="1" x14ac:dyDescent="0.4">
      <c r="E84" s="75"/>
      <c r="F84" s="58" t="s">
        <v>71</v>
      </c>
      <c r="H84" s="73">
        <v>333.33333333333331</v>
      </c>
      <c r="I84" s="66" t="s">
        <v>88</v>
      </c>
      <c r="K84" s="57">
        <f t="shared" si="20"/>
        <v>4000</v>
      </c>
      <c r="L84" s="57">
        <f t="shared" si="21"/>
        <v>4120</v>
      </c>
      <c r="M84" s="57">
        <f t="shared" si="21"/>
        <v>4243.6000000000004</v>
      </c>
      <c r="N84" s="57">
        <f t="shared" si="21"/>
        <v>4370.9080000000004</v>
      </c>
      <c r="O84" s="57">
        <f t="shared" si="21"/>
        <v>4502.0352400000002</v>
      </c>
      <c r="P84" s="57">
        <f t="shared" si="21"/>
        <v>4637.0962972000007</v>
      </c>
      <c r="Q84" s="57">
        <f t="shared" si="21"/>
        <v>4776.2091861160006</v>
      </c>
      <c r="R84" s="57">
        <f t="shared" si="21"/>
        <v>4919.495461699481</v>
      </c>
      <c r="S84" s="57">
        <f t="shared" si="21"/>
        <v>5067.0803255504652</v>
      </c>
      <c r="T84" s="57">
        <f t="shared" si="21"/>
        <v>5219.0927353169791</v>
      </c>
    </row>
    <row r="85" spans="5:20" ht="18" customHeight="1" x14ac:dyDescent="0.4">
      <c r="E85" s="75"/>
      <c r="F85" s="58" t="s">
        <v>72</v>
      </c>
      <c r="H85" s="73">
        <f>56*14</f>
        <v>784</v>
      </c>
      <c r="I85" s="66" t="s">
        <v>88</v>
      </c>
      <c r="K85" s="57">
        <f t="shared" si="20"/>
        <v>9408</v>
      </c>
      <c r="L85" s="57">
        <f t="shared" si="21"/>
        <v>9690.24</v>
      </c>
      <c r="M85" s="57">
        <f t="shared" si="21"/>
        <v>9980.9472000000005</v>
      </c>
      <c r="N85" s="57">
        <f t="shared" si="21"/>
        <v>10280.375616000001</v>
      </c>
      <c r="O85" s="57">
        <f t="shared" si="21"/>
        <v>10588.786884480001</v>
      </c>
      <c r="P85" s="57">
        <f t="shared" si="21"/>
        <v>10906.450491014402</v>
      </c>
      <c r="Q85" s="57">
        <f t="shared" si="21"/>
        <v>11233.644005744834</v>
      </c>
      <c r="R85" s="57">
        <f t="shared" si="21"/>
        <v>11570.653325917179</v>
      </c>
      <c r="S85" s="57">
        <f t="shared" si="21"/>
        <v>11917.772925694695</v>
      </c>
      <c r="T85" s="57">
        <f t="shared" si="21"/>
        <v>12275.306113465536</v>
      </c>
    </row>
    <row r="86" spans="5:20" ht="18" customHeight="1" x14ac:dyDescent="0.4">
      <c r="E86" s="75"/>
      <c r="F86" s="58" t="s">
        <v>73</v>
      </c>
      <c r="H86" s="76">
        <v>0.02</v>
      </c>
      <c r="I86" s="66" t="s">
        <v>90</v>
      </c>
      <c r="K86" s="57">
        <f t="shared" ref="K86:K87" si="22">+$H86*K$47</f>
        <v>45348.504571428559</v>
      </c>
      <c r="L86" s="57">
        <f t="shared" si="21"/>
        <v>46708.959708571419</v>
      </c>
      <c r="M86" s="57">
        <f t="shared" si="21"/>
        <v>48110.228499828561</v>
      </c>
      <c r="N86" s="57">
        <f t="shared" si="21"/>
        <v>49553.53535482342</v>
      </c>
      <c r="O86" s="57">
        <f t="shared" si="21"/>
        <v>51040.141415468126</v>
      </c>
      <c r="P86" s="57">
        <f t="shared" si="21"/>
        <v>52571.345657932172</v>
      </c>
      <c r="Q86" s="57">
        <f t="shared" si="21"/>
        <v>54148.486027670137</v>
      </c>
      <c r="R86" s="57">
        <f t="shared" si="21"/>
        <v>55772.940608500241</v>
      </c>
      <c r="S86" s="57">
        <f t="shared" si="21"/>
        <v>57446.128826755252</v>
      </c>
      <c r="T86" s="57">
        <f t="shared" si="21"/>
        <v>59169.512691557909</v>
      </c>
    </row>
    <row r="87" spans="5:20" ht="18" customHeight="1" x14ac:dyDescent="0.4">
      <c r="E87" s="75"/>
      <c r="F87" s="58" t="s">
        <v>74</v>
      </c>
      <c r="H87" s="77">
        <v>2E-3</v>
      </c>
      <c r="I87" s="66" t="s">
        <v>90</v>
      </c>
      <c r="K87" s="57">
        <f t="shared" si="22"/>
        <v>4534.8504571428557</v>
      </c>
      <c r="L87" s="57">
        <f t="shared" si="21"/>
        <v>4670.8959708571419</v>
      </c>
      <c r="M87" s="57">
        <f t="shared" si="21"/>
        <v>4811.0228499828563</v>
      </c>
      <c r="N87" s="57">
        <f t="shared" si="21"/>
        <v>4955.3535354823425</v>
      </c>
      <c r="O87" s="57">
        <f t="shared" si="21"/>
        <v>5104.0141415468133</v>
      </c>
      <c r="P87" s="57">
        <f t="shared" si="21"/>
        <v>5257.1345657932179</v>
      </c>
      <c r="Q87" s="57">
        <f t="shared" si="21"/>
        <v>5414.8486027670142</v>
      </c>
      <c r="R87" s="57">
        <f t="shared" si="21"/>
        <v>5577.2940608500248</v>
      </c>
      <c r="S87" s="57">
        <f t="shared" si="21"/>
        <v>5744.6128826755257</v>
      </c>
      <c r="T87" s="57">
        <f t="shared" si="21"/>
        <v>5916.951269155792</v>
      </c>
    </row>
    <row r="88" spans="5:20" ht="18" customHeight="1" x14ac:dyDescent="0.4">
      <c r="E88" s="75"/>
      <c r="F88" s="58" t="s">
        <v>75</v>
      </c>
      <c r="H88" s="73">
        <v>166.66666666666666</v>
      </c>
      <c r="I88" s="66" t="s">
        <v>88</v>
      </c>
      <c r="K88" s="57">
        <f t="shared" ref="K88:K89" si="23">+H88*12</f>
        <v>2000</v>
      </c>
      <c r="L88" s="57">
        <f t="shared" si="21"/>
        <v>2060</v>
      </c>
      <c r="M88" s="57">
        <f t="shared" si="21"/>
        <v>2121.8000000000002</v>
      </c>
      <c r="N88" s="57">
        <f t="shared" si="21"/>
        <v>2185.4540000000002</v>
      </c>
      <c r="O88" s="57">
        <f t="shared" si="21"/>
        <v>2251.0176200000001</v>
      </c>
      <c r="P88" s="57">
        <f t="shared" si="21"/>
        <v>2318.5481486000003</v>
      </c>
      <c r="Q88" s="57">
        <f t="shared" si="21"/>
        <v>2388.1045930580003</v>
      </c>
      <c r="R88" s="57">
        <f t="shared" si="21"/>
        <v>2459.7477308497405</v>
      </c>
      <c r="S88" s="57">
        <f t="shared" si="21"/>
        <v>2533.5401627752326</v>
      </c>
      <c r="T88" s="57">
        <f t="shared" si="21"/>
        <v>2609.5463676584895</v>
      </c>
    </row>
    <row r="89" spans="5:20" ht="18" customHeight="1" x14ac:dyDescent="0.4">
      <c r="E89" s="75"/>
      <c r="F89" s="58" t="s">
        <v>76</v>
      </c>
      <c r="H89" s="73">
        <v>83.333333333333329</v>
      </c>
      <c r="I89" s="66" t="s">
        <v>88</v>
      </c>
      <c r="K89" s="57">
        <f t="shared" si="23"/>
        <v>1000</v>
      </c>
      <c r="L89" s="57">
        <f t="shared" si="21"/>
        <v>1030</v>
      </c>
      <c r="M89" s="57">
        <f t="shared" si="21"/>
        <v>1060.9000000000001</v>
      </c>
      <c r="N89" s="57">
        <f t="shared" si="21"/>
        <v>1092.7270000000001</v>
      </c>
      <c r="O89" s="57">
        <f t="shared" si="21"/>
        <v>1125.50881</v>
      </c>
      <c r="P89" s="57">
        <f t="shared" si="21"/>
        <v>1159.2740743000002</v>
      </c>
      <c r="Q89" s="57">
        <f t="shared" si="21"/>
        <v>1194.0522965290002</v>
      </c>
      <c r="R89" s="57">
        <f t="shared" si="21"/>
        <v>1229.8738654248702</v>
      </c>
      <c r="S89" s="57">
        <f t="shared" si="21"/>
        <v>1266.7700813876163</v>
      </c>
      <c r="T89" s="57">
        <f t="shared" si="21"/>
        <v>1304.7731838292448</v>
      </c>
    </row>
    <row r="90" spans="5:20" ht="18" customHeight="1" x14ac:dyDescent="0.4">
      <c r="E90" s="75"/>
      <c r="F90" s="64" t="s">
        <v>77</v>
      </c>
      <c r="H90" s="74"/>
      <c r="I90" s="66"/>
      <c r="K90" s="65">
        <f>+SUM(K91:K93)</f>
        <v>67997.919999999998</v>
      </c>
      <c r="L90" s="65">
        <f t="shared" si="21"/>
        <v>70037.857600000003</v>
      </c>
      <c r="M90" s="65">
        <f t="shared" si="21"/>
        <v>72138.993328000011</v>
      </c>
      <c r="N90" s="65">
        <f t="shared" si="21"/>
        <v>74303.163127840016</v>
      </c>
      <c r="O90" s="65">
        <f t="shared" si="21"/>
        <v>76532.258021675225</v>
      </c>
      <c r="P90" s="65">
        <f t="shared" si="21"/>
        <v>78828.225762325485</v>
      </c>
      <c r="Q90" s="65">
        <f t="shared" si="21"/>
        <v>81193.072535195257</v>
      </c>
      <c r="R90" s="65">
        <f t="shared" si="21"/>
        <v>83628.86471125111</v>
      </c>
      <c r="S90" s="65">
        <f t="shared" si="21"/>
        <v>86137.730652588652</v>
      </c>
      <c r="T90" s="65">
        <f t="shared" si="21"/>
        <v>88721.862572166312</v>
      </c>
    </row>
    <row r="91" spans="5:20" ht="18" customHeight="1" x14ac:dyDescent="0.4">
      <c r="E91" s="75"/>
      <c r="F91" s="58" t="s">
        <v>78</v>
      </c>
      <c r="H91" s="73">
        <v>3.5</v>
      </c>
      <c r="I91" s="66" t="s">
        <v>92</v>
      </c>
      <c r="K91" s="57">
        <f t="shared" ref="K91:K92" si="24">+$H91*$H$62</f>
        <v>54370.400000000001</v>
      </c>
      <c r="L91" s="57">
        <f t="shared" si="21"/>
        <v>56001.512000000002</v>
      </c>
      <c r="M91" s="57">
        <f t="shared" si="21"/>
        <v>57681.557360000006</v>
      </c>
      <c r="N91" s="57">
        <f t="shared" si="21"/>
        <v>59412.004080800005</v>
      </c>
      <c r="O91" s="57">
        <f t="shared" si="21"/>
        <v>61194.36420322401</v>
      </c>
      <c r="P91" s="57">
        <f t="shared" si="21"/>
        <v>63030.195129320731</v>
      </c>
      <c r="Q91" s="57">
        <f t="shared" si="21"/>
        <v>64921.100983200355</v>
      </c>
      <c r="R91" s="57">
        <f t="shared" si="21"/>
        <v>66868.734012696368</v>
      </c>
      <c r="S91" s="57">
        <f t="shared" si="21"/>
        <v>68874.796033077262</v>
      </c>
      <c r="T91" s="57">
        <f t="shared" si="21"/>
        <v>70941.039914069581</v>
      </c>
    </row>
    <row r="92" spans="5:20" ht="18" customHeight="1" x14ac:dyDescent="0.4">
      <c r="E92" s="75"/>
      <c r="F92" s="58" t="s">
        <v>79</v>
      </c>
      <c r="H92" s="73">
        <v>0.8</v>
      </c>
      <c r="I92" s="66" t="s">
        <v>92</v>
      </c>
      <c r="K92" s="57">
        <f t="shared" si="24"/>
        <v>12427.52</v>
      </c>
      <c r="L92" s="57">
        <f t="shared" si="21"/>
        <v>12800.345600000001</v>
      </c>
      <c r="M92" s="57">
        <f t="shared" si="21"/>
        <v>13184.355968000002</v>
      </c>
      <c r="N92" s="57">
        <f t="shared" si="21"/>
        <v>13579.886647040003</v>
      </c>
      <c r="O92" s="57">
        <f t="shared" si="21"/>
        <v>13987.283246451203</v>
      </c>
      <c r="P92" s="57">
        <f t="shared" si="21"/>
        <v>14406.901743844739</v>
      </c>
      <c r="Q92" s="57">
        <f t="shared" si="21"/>
        <v>14839.108796160082</v>
      </c>
      <c r="R92" s="57">
        <f t="shared" si="21"/>
        <v>15284.282060044885</v>
      </c>
      <c r="S92" s="57">
        <f t="shared" si="21"/>
        <v>15742.810521846231</v>
      </c>
      <c r="T92" s="57">
        <f t="shared" si="21"/>
        <v>16215.09483750162</v>
      </c>
    </row>
    <row r="93" spans="5:20" ht="18" customHeight="1" x14ac:dyDescent="0.4">
      <c r="E93" s="75"/>
      <c r="F93" s="58" t="s">
        <v>80</v>
      </c>
      <c r="H93" s="73">
        <v>100</v>
      </c>
      <c r="I93" s="66" t="s">
        <v>88</v>
      </c>
      <c r="K93" s="57">
        <f>+H93*12</f>
        <v>1200</v>
      </c>
      <c r="L93" s="57">
        <f t="shared" si="21"/>
        <v>1236</v>
      </c>
      <c r="M93" s="57">
        <f t="shared" si="21"/>
        <v>1273.08</v>
      </c>
      <c r="N93" s="57">
        <f t="shared" si="21"/>
        <v>1311.2724000000001</v>
      </c>
      <c r="O93" s="57">
        <f t="shared" si="21"/>
        <v>1350.610572</v>
      </c>
      <c r="P93" s="57">
        <f t="shared" si="21"/>
        <v>1391.12888916</v>
      </c>
      <c r="Q93" s="57">
        <f t="shared" si="21"/>
        <v>1432.8627558348001</v>
      </c>
      <c r="R93" s="57">
        <f t="shared" si="21"/>
        <v>1475.848638509844</v>
      </c>
      <c r="S93" s="57">
        <f t="shared" si="21"/>
        <v>1520.1240976651393</v>
      </c>
      <c r="T93" s="57">
        <f t="shared" si="21"/>
        <v>1565.7278205950936</v>
      </c>
    </row>
    <row r="94" spans="5:20" ht="18" customHeight="1" x14ac:dyDescent="0.4">
      <c r="E94" s="80">
        <v>5</v>
      </c>
      <c r="F94" s="64" t="s">
        <v>81</v>
      </c>
      <c r="H94" s="73">
        <v>2300</v>
      </c>
      <c r="I94" s="66" t="s">
        <v>88</v>
      </c>
      <c r="K94" s="65">
        <f>+$H94*$E94*12</f>
        <v>138000</v>
      </c>
      <c r="L94" s="65">
        <f t="shared" si="21"/>
        <v>142140</v>
      </c>
      <c r="M94" s="65">
        <f t="shared" si="21"/>
        <v>146404.20000000001</v>
      </c>
      <c r="N94" s="65">
        <f t="shared" si="21"/>
        <v>150796.32600000003</v>
      </c>
      <c r="O94" s="65">
        <f t="shared" si="21"/>
        <v>155320.21578000003</v>
      </c>
      <c r="P94" s="65">
        <f t="shared" si="21"/>
        <v>159979.82225340002</v>
      </c>
      <c r="Q94" s="65">
        <f t="shared" si="21"/>
        <v>164779.21692100202</v>
      </c>
      <c r="R94" s="65">
        <f t="shared" si="21"/>
        <v>169722.5934286321</v>
      </c>
      <c r="S94" s="65">
        <f t="shared" si="21"/>
        <v>174814.27123149106</v>
      </c>
      <c r="T94" s="65">
        <f t="shared" si="21"/>
        <v>180058.6993684358</v>
      </c>
    </row>
    <row r="95" spans="5:20" ht="18" customHeight="1" x14ac:dyDescent="0.4">
      <c r="E95" s="75"/>
      <c r="F95" s="64" t="s">
        <v>82</v>
      </c>
      <c r="H95" s="74"/>
      <c r="I95" s="66"/>
      <c r="K95" s="65">
        <f>+SUM(K96:K96)</f>
        <v>76363.636363636368</v>
      </c>
      <c r="L95" s="65">
        <f t="shared" si="21"/>
        <v>78654.545454545456</v>
      </c>
      <c r="M95" s="65">
        <f t="shared" si="21"/>
        <v>81014.181818181823</v>
      </c>
      <c r="N95" s="65">
        <f t="shared" si="21"/>
        <v>83444.607272727284</v>
      </c>
      <c r="O95" s="65">
        <f t="shared" si="21"/>
        <v>85947.9454909091</v>
      </c>
      <c r="P95" s="65">
        <f t="shared" si="21"/>
        <v>88526.383855636377</v>
      </c>
      <c r="Q95" s="65">
        <f t="shared" si="21"/>
        <v>91182.175371305464</v>
      </c>
      <c r="R95" s="65">
        <f t="shared" si="21"/>
        <v>93917.640632444629</v>
      </c>
      <c r="S95" s="65">
        <f t="shared" si="21"/>
        <v>96735.169851417973</v>
      </c>
      <c r="T95" s="65">
        <f t="shared" si="21"/>
        <v>99637.224946960516</v>
      </c>
    </row>
    <row r="96" spans="5:20" ht="18" customHeight="1" x14ac:dyDescent="0.4">
      <c r="E96" s="75"/>
      <c r="F96" s="58" t="s">
        <v>98</v>
      </c>
      <c r="H96" s="78">
        <v>0.68181818181818188</v>
      </c>
      <c r="I96" s="66" t="s">
        <v>109</v>
      </c>
      <c r="K96" s="57">
        <f>+$H96*K$49</f>
        <v>76363.636363636368</v>
      </c>
      <c r="L96" s="57">
        <f t="shared" si="21"/>
        <v>78654.545454545456</v>
      </c>
      <c r="M96" s="57">
        <f t="shared" si="21"/>
        <v>81014.181818181823</v>
      </c>
      <c r="N96" s="57">
        <f t="shared" si="21"/>
        <v>83444.607272727284</v>
      </c>
      <c r="O96" s="57">
        <f t="shared" si="21"/>
        <v>85947.9454909091</v>
      </c>
      <c r="P96" s="57">
        <f t="shared" si="21"/>
        <v>88526.383855636377</v>
      </c>
      <c r="Q96" s="57">
        <f t="shared" si="21"/>
        <v>91182.175371305464</v>
      </c>
      <c r="R96" s="57">
        <f t="shared" si="21"/>
        <v>93917.640632444629</v>
      </c>
      <c r="S96" s="57">
        <f t="shared" si="21"/>
        <v>96735.169851417973</v>
      </c>
      <c r="T96" s="57">
        <f t="shared" si="21"/>
        <v>99637.224946960516</v>
      </c>
    </row>
    <row r="97" spans="1:23" ht="18" customHeight="1" x14ac:dyDescent="0.4">
      <c r="E97" s="75"/>
      <c r="F97" s="64" t="s">
        <v>83</v>
      </c>
      <c r="H97" s="73">
        <v>4.5</v>
      </c>
      <c r="I97" s="66" t="s">
        <v>92</v>
      </c>
      <c r="K97" s="65">
        <f>+$H97*$H$62</f>
        <v>69904.800000000003</v>
      </c>
      <c r="L97" s="65">
        <f t="shared" si="21"/>
        <v>72001.944000000003</v>
      </c>
      <c r="M97" s="65">
        <f t="shared" si="21"/>
        <v>74162.00232</v>
      </c>
      <c r="N97" s="65">
        <f t="shared" si="21"/>
        <v>76386.862389600006</v>
      </c>
      <c r="O97" s="65">
        <f t="shared" si="21"/>
        <v>78678.468261288013</v>
      </c>
      <c r="P97" s="65">
        <f t="shared" si="21"/>
        <v>81038.822309126655</v>
      </c>
      <c r="Q97" s="65">
        <f t="shared" si="21"/>
        <v>83469.986978400455</v>
      </c>
      <c r="R97" s="65">
        <f t="shared" si="21"/>
        <v>85974.086587752477</v>
      </c>
      <c r="S97" s="65">
        <f t="shared" si="21"/>
        <v>88553.309185385049</v>
      </c>
      <c r="T97" s="65">
        <f t="shared" si="21"/>
        <v>91209.908460946608</v>
      </c>
    </row>
    <row r="98" spans="1:23" ht="18" customHeight="1" x14ac:dyDescent="0.4">
      <c r="B98" s="38" t="s">
        <v>108</v>
      </c>
      <c r="C98" s="39">
        <v>0.03</v>
      </c>
      <c r="E98" s="75"/>
      <c r="F98" s="64" t="s">
        <v>84</v>
      </c>
      <c r="H98" s="74"/>
      <c r="I98" s="66"/>
      <c r="K98" s="65">
        <f>+SUM(K99:K100)</f>
        <v>265153.91226214275</v>
      </c>
      <c r="L98" s="65">
        <f t="shared" ref="L98:T103" si="25">+K98*(1+$H$27)</f>
        <v>273108.52963000705</v>
      </c>
      <c r="M98" s="65">
        <f t="shared" si="25"/>
        <v>281301.78551890724</v>
      </c>
      <c r="N98" s="65">
        <f t="shared" si="25"/>
        <v>289740.83908447449</v>
      </c>
      <c r="O98" s="65">
        <f t="shared" si="25"/>
        <v>298433.06425700872</v>
      </c>
      <c r="P98" s="65">
        <f t="shared" si="25"/>
        <v>307386.05618471897</v>
      </c>
      <c r="Q98" s="65">
        <f t="shared" si="25"/>
        <v>316607.63787026057</v>
      </c>
      <c r="R98" s="65">
        <f t="shared" si="25"/>
        <v>326105.86700636841</v>
      </c>
      <c r="S98" s="65">
        <f t="shared" si="25"/>
        <v>335889.04301655944</v>
      </c>
      <c r="T98" s="65">
        <f t="shared" si="25"/>
        <v>345965.71430705622</v>
      </c>
    </row>
    <row r="99" spans="1:23" ht="18" customHeight="1" x14ac:dyDescent="0.4">
      <c r="B99" s="38" t="s">
        <v>106</v>
      </c>
      <c r="C99" s="39">
        <v>0.21</v>
      </c>
      <c r="E99" s="75"/>
      <c r="F99" s="58" t="s">
        <v>106</v>
      </c>
      <c r="H99" s="79">
        <v>2.2499999999999999E-2</v>
      </c>
      <c r="I99" s="66" t="s">
        <v>94</v>
      </c>
      <c r="K99" s="57">
        <f>+(K$48+K$49*$C$100)*C99*H99</f>
        <v>10552.556204999995</v>
      </c>
      <c r="L99" s="57">
        <f t="shared" si="25"/>
        <v>10869.132891149995</v>
      </c>
      <c r="M99" s="57">
        <f t="shared" si="25"/>
        <v>11195.206877884495</v>
      </c>
      <c r="N99" s="57">
        <f t="shared" si="25"/>
        <v>11531.06308422103</v>
      </c>
      <c r="O99" s="57">
        <f t="shared" si="25"/>
        <v>11876.994976747661</v>
      </c>
      <c r="P99" s="57">
        <f t="shared" si="25"/>
        <v>12233.304826050091</v>
      </c>
      <c r="Q99" s="57">
        <f t="shared" si="25"/>
        <v>12600.303970831594</v>
      </c>
      <c r="R99" s="57">
        <f t="shared" si="25"/>
        <v>12978.313089956542</v>
      </c>
      <c r="S99" s="57">
        <f t="shared" si="25"/>
        <v>13367.662482655238</v>
      </c>
      <c r="T99" s="57">
        <f t="shared" si="25"/>
        <v>13768.692357134896</v>
      </c>
    </row>
    <row r="100" spans="1:23" ht="18" customHeight="1" x14ac:dyDescent="0.4">
      <c r="B100" s="38" t="s">
        <v>107</v>
      </c>
      <c r="C100" s="39">
        <f>100%-SUM(C98:C99)</f>
        <v>0.76</v>
      </c>
      <c r="E100" s="75"/>
      <c r="F100" s="58" t="s">
        <v>107</v>
      </c>
      <c r="H100" s="79">
        <v>0.15</v>
      </c>
      <c r="I100" s="66" t="s">
        <v>95</v>
      </c>
      <c r="K100" s="57">
        <f>+(K$48+K$49*$C$100)*C100*H100</f>
        <v>254601.35605714278</v>
      </c>
      <c r="L100" s="57">
        <f t="shared" si="25"/>
        <v>262239.39673885709</v>
      </c>
      <c r="M100" s="57">
        <f t="shared" si="25"/>
        <v>270106.57864102279</v>
      </c>
      <c r="N100" s="57">
        <f t="shared" si="25"/>
        <v>278209.77600025351</v>
      </c>
      <c r="O100" s="57">
        <f t="shared" si="25"/>
        <v>286556.06928026112</v>
      </c>
      <c r="P100" s="57">
        <f t="shared" si="25"/>
        <v>295152.75135866896</v>
      </c>
      <c r="Q100" s="57">
        <f t="shared" si="25"/>
        <v>304007.33389942901</v>
      </c>
      <c r="R100" s="57">
        <f t="shared" si="25"/>
        <v>313127.55391641188</v>
      </c>
      <c r="S100" s="57">
        <f t="shared" si="25"/>
        <v>322521.38053390424</v>
      </c>
      <c r="T100" s="57">
        <f t="shared" si="25"/>
        <v>332197.02194992139</v>
      </c>
    </row>
    <row r="101" spans="1:23" ht="18" customHeight="1" x14ac:dyDescent="0.4">
      <c r="E101" s="75"/>
      <c r="F101" s="64" t="s">
        <v>85</v>
      </c>
      <c r="H101" s="74"/>
      <c r="I101" s="66"/>
      <c r="K101" s="65">
        <f>+SUM(K102:K103)</f>
        <v>29971.527971428561</v>
      </c>
      <c r="L101" s="65">
        <f t="shared" si="25"/>
        <v>30870.673810571418</v>
      </c>
      <c r="M101" s="65">
        <f t="shared" si="25"/>
        <v>31796.794024888561</v>
      </c>
      <c r="N101" s="65">
        <f t="shared" si="25"/>
        <v>32750.697845635219</v>
      </c>
      <c r="O101" s="65">
        <f t="shared" si="25"/>
        <v>33733.218781004274</v>
      </c>
      <c r="P101" s="65">
        <f t="shared" si="25"/>
        <v>34745.2153444344</v>
      </c>
      <c r="Q101" s="65">
        <f t="shared" si="25"/>
        <v>35787.571804767431</v>
      </c>
      <c r="R101" s="65">
        <f t="shared" si="25"/>
        <v>36861.198958910456</v>
      </c>
      <c r="S101" s="65">
        <f t="shared" si="25"/>
        <v>37967.034927677771</v>
      </c>
      <c r="T101" s="65">
        <f t="shared" si="25"/>
        <v>39106.045975508103</v>
      </c>
    </row>
    <row r="102" spans="1:23" ht="18" customHeight="1" x14ac:dyDescent="0.4">
      <c r="E102" s="75"/>
      <c r="F102" s="58" t="s">
        <v>86</v>
      </c>
      <c r="H102" s="73">
        <v>41.25</v>
      </c>
      <c r="I102" s="66" t="s">
        <v>88</v>
      </c>
      <c r="K102" s="57">
        <f>+H102*12</f>
        <v>495</v>
      </c>
      <c r="L102" s="57">
        <f t="shared" si="25"/>
        <v>509.85</v>
      </c>
      <c r="M102" s="57">
        <f t="shared" si="25"/>
        <v>525.14550000000008</v>
      </c>
      <c r="N102" s="57">
        <f t="shared" si="25"/>
        <v>540.89986500000009</v>
      </c>
      <c r="O102" s="57">
        <f t="shared" si="25"/>
        <v>557.12686095000015</v>
      </c>
      <c r="P102" s="57">
        <f t="shared" si="25"/>
        <v>573.84066677850012</v>
      </c>
      <c r="Q102" s="57">
        <f t="shared" si="25"/>
        <v>591.05588678185518</v>
      </c>
      <c r="R102" s="57">
        <f t="shared" si="25"/>
        <v>608.78756338531082</v>
      </c>
      <c r="S102" s="57">
        <f t="shared" si="25"/>
        <v>627.05119028687011</v>
      </c>
      <c r="T102" s="57">
        <f t="shared" si="25"/>
        <v>645.86272599547624</v>
      </c>
    </row>
    <row r="103" spans="1:23" ht="18" customHeight="1" x14ac:dyDescent="0.4">
      <c r="E103" s="75"/>
      <c r="F103" s="58" t="s">
        <v>87</v>
      </c>
      <c r="H103" s="82">
        <v>1.2999999999999999E-2</v>
      </c>
      <c r="I103" s="66" t="s">
        <v>90</v>
      </c>
      <c r="K103" s="57">
        <f>+$H103*K$47</f>
        <v>29476.527971428561</v>
      </c>
      <c r="L103" s="57">
        <f t="shared" si="25"/>
        <v>30360.823810571419</v>
      </c>
      <c r="M103" s="57">
        <f t="shared" si="25"/>
        <v>31271.648524888562</v>
      </c>
      <c r="N103" s="57">
        <f t="shared" si="25"/>
        <v>32209.79798063522</v>
      </c>
      <c r="O103" s="57">
        <f t="shared" si="25"/>
        <v>33176.091920054278</v>
      </c>
      <c r="P103" s="57">
        <f t="shared" si="25"/>
        <v>34171.374677655906</v>
      </c>
      <c r="Q103" s="57">
        <f t="shared" si="25"/>
        <v>35196.515917985584</v>
      </c>
      <c r="R103" s="57">
        <f t="shared" si="25"/>
        <v>36252.411395525152</v>
      </c>
      <c r="S103" s="57">
        <f t="shared" si="25"/>
        <v>37339.98373739091</v>
      </c>
      <c r="T103" s="57">
        <f t="shared" si="25"/>
        <v>38460.183249512636</v>
      </c>
    </row>
    <row r="104" spans="1:23" x14ac:dyDescent="0.4">
      <c r="K104" s="52"/>
      <c r="L104" s="52"/>
      <c r="M104" s="52"/>
      <c r="N104" s="52"/>
      <c r="O104" s="52"/>
      <c r="P104" s="52"/>
      <c r="Q104" s="52"/>
      <c r="R104" s="52"/>
      <c r="S104" s="52"/>
      <c r="T104" s="52"/>
    </row>
    <row r="105" spans="1:23" s="91" customFormat="1" ht="18.5" x14ac:dyDescent="0.5">
      <c r="A105" s="88"/>
      <c r="B105" s="88"/>
      <c r="C105" s="88"/>
      <c r="D105" s="88"/>
      <c r="E105" s="90"/>
      <c r="F105" s="59" t="s">
        <v>41</v>
      </c>
      <c r="K105" s="95">
        <f t="shared" ref="K105:T105" si="26">+K47-K55-K64</f>
        <v>591626.92623136309</v>
      </c>
      <c r="L105" s="95">
        <f t="shared" si="26"/>
        <v>358044.94858973334</v>
      </c>
      <c r="M105" s="95">
        <f t="shared" si="26"/>
        <v>422819.35110742529</v>
      </c>
      <c r="N105" s="95">
        <f t="shared" si="26"/>
        <v>437368.38162997249</v>
      </c>
      <c r="O105" s="95">
        <f t="shared" si="26"/>
        <v>484712.60088789416</v>
      </c>
      <c r="P105" s="95">
        <f t="shared" si="26"/>
        <v>535188.30511400523</v>
      </c>
      <c r="Q105" s="95">
        <f t="shared" si="26"/>
        <v>593995.82096674223</v>
      </c>
      <c r="R105" s="95">
        <f t="shared" si="26"/>
        <v>646261.84131509764</v>
      </c>
      <c r="S105" s="95">
        <f t="shared" si="26"/>
        <v>707248.17092121718</v>
      </c>
      <c r="T105" s="95">
        <f t="shared" si="26"/>
        <v>772144.01413385244</v>
      </c>
      <c r="W105" s="98">
        <f>+SUM(K105:T105)</f>
        <v>5549410.3608973026</v>
      </c>
    </row>
    <row r="107" spans="1:23" s="91" customFormat="1" ht="18.5" x14ac:dyDescent="0.5">
      <c r="A107" s="88"/>
      <c r="B107" s="88"/>
      <c r="C107" s="88"/>
      <c r="D107" s="88"/>
      <c r="E107" s="90"/>
      <c r="F107" s="59" t="s">
        <v>51</v>
      </c>
      <c r="K107" s="95">
        <f>+K105-K16</f>
        <v>228126.92623136309</v>
      </c>
      <c r="L107" s="95">
        <f>+L105</f>
        <v>358044.94858973334</v>
      </c>
      <c r="M107" s="95">
        <f t="shared" ref="M107:T107" si="27">+M105</f>
        <v>422819.35110742529</v>
      </c>
      <c r="N107" s="95">
        <f t="shared" si="27"/>
        <v>437368.38162997249</v>
      </c>
      <c r="O107" s="95">
        <f t="shared" si="27"/>
        <v>484712.60088789416</v>
      </c>
      <c r="P107" s="95">
        <f t="shared" si="27"/>
        <v>535188.30511400523</v>
      </c>
      <c r="Q107" s="95">
        <f t="shared" si="27"/>
        <v>593995.82096674223</v>
      </c>
      <c r="R107" s="95">
        <f t="shared" si="27"/>
        <v>646261.84131509764</v>
      </c>
      <c r="S107" s="95">
        <f t="shared" si="27"/>
        <v>707248.17092121718</v>
      </c>
      <c r="T107" s="95">
        <f t="shared" si="27"/>
        <v>772144.01413385244</v>
      </c>
      <c r="W107" s="98">
        <f>+SUM(K107:T107)</f>
        <v>5185910.3608973026</v>
      </c>
    </row>
    <row r="109" spans="1:23" x14ac:dyDescent="0.4">
      <c r="B109" s="114" t="s">
        <v>118</v>
      </c>
      <c r="C109" s="39">
        <v>0.03</v>
      </c>
      <c r="F109" s="58" t="s">
        <v>118</v>
      </c>
      <c r="K109" s="125">
        <v>0</v>
      </c>
      <c r="L109" s="126">
        <f t="shared" ref="L109:T109" si="28">+L47*$C$109</f>
        <v>74985.426000000007</v>
      </c>
      <c r="M109" s="126">
        <f t="shared" si="28"/>
        <v>80814.534002999993</v>
      </c>
      <c r="N109" s="126">
        <f t="shared" si="28"/>
        <v>84634.726294124979</v>
      </c>
      <c r="O109" s="126">
        <f t="shared" si="28"/>
        <v>88866.462608831222</v>
      </c>
      <c r="P109" s="126">
        <f t="shared" si="28"/>
        <v>93309.785739272818</v>
      </c>
      <c r="Q109" s="126">
        <f t="shared" si="28"/>
        <v>98230.571171484073</v>
      </c>
      <c r="R109" s="126">
        <f t="shared" si="28"/>
        <v>102874.03877754825</v>
      </c>
      <c r="S109" s="126">
        <f t="shared" si="28"/>
        <v>108017.74071642573</v>
      </c>
      <c r="T109" s="126">
        <f t="shared" si="28"/>
        <v>113418.627752247</v>
      </c>
    </row>
    <row r="111" spans="1:23" ht="18.5" x14ac:dyDescent="0.5">
      <c r="F111" s="59" t="s">
        <v>119</v>
      </c>
      <c r="G111" s="91"/>
      <c r="H111" s="91"/>
      <c r="I111" s="91"/>
      <c r="J111" s="91"/>
      <c r="K111" s="95">
        <f>+K107-K109</f>
        <v>228126.92623136309</v>
      </c>
      <c r="L111" s="95">
        <f t="shared" ref="L111:T111" si="29">+L107-L109</f>
        <v>283059.52258973336</v>
      </c>
      <c r="M111" s="95">
        <f t="shared" si="29"/>
        <v>342004.81710442528</v>
      </c>
      <c r="N111" s="95">
        <f t="shared" si="29"/>
        <v>352733.65533584752</v>
      </c>
      <c r="O111" s="95">
        <f t="shared" si="29"/>
        <v>395846.13827906293</v>
      </c>
      <c r="P111" s="95">
        <f t="shared" si="29"/>
        <v>441878.51937473239</v>
      </c>
      <c r="Q111" s="95">
        <f t="shared" si="29"/>
        <v>495765.24979525816</v>
      </c>
      <c r="R111" s="95">
        <f t="shared" si="29"/>
        <v>543387.8025375494</v>
      </c>
      <c r="S111" s="95">
        <f t="shared" si="29"/>
        <v>599230.43020479148</v>
      </c>
      <c r="T111" s="95">
        <f t="shared" si="29"/>
        <v>658725.38638160541</v>
      </c>
    </row>
    <row r="112" spans="1:23" s="53" customFormat="1" x14ac:dyDescent="0.4">
      <c r="A112" s="36"/>
      <c r="B112" s="36"/>
      <c r="C112" s="36"/>
      <c r="D112" s="36"/>
      <c r="E112" s="72"/>
      <c r="W112" s="72"/>
    </row>
    <row r="114" spans="3:20" x14ac:dyDescent="0.4">
      <c r="F114" s="58" t="s">
        <v>112</v>
      </c>
      <c r="K114" s="126">
        <f t="shared" ref="K114:T114" si="30">+K49/(14.9/1.1)</f>
        <v>8268.4563758389268</v>
      </c>
      <c r="L114" s="126">
        <f t="shared" si="30"/>
        <v>8681.879194630872</v>
      </c>
      <c r="M114" s="126">
        <f t="shared" si="30"/>
        <v>9115.9731543624166</v>
      </c>
      <c r="N114" s="126">
        <f t="shared" si="30"/>
        <v>9571.7718120805366</v>
      </c>
      <c r="O114" s="126">
        <f t="shared" si="30"/>
        <v>10050.360402684564</v>
      </c>
      <c r="P114" s="126">
        <f t="shared" si="30"/>
        <v>10552.878422818794</v>
      </c>
      <c r="Q114" s="126">
        <f t="shared" si="30"/>
        <v>11080.522343959736</v>
      </c>
      <c r="R114" s="126">
        <f t="shared" si="30"/>
        <v>11634.548461157721</v>
      </c>
      <c r="S114" s="126">
        <f t="shared" si="30"/>
        <v>12216.275884215609</v>
      </c>
      <c r="T114" s="126">
        <f t="shared" si="30"/>
        <v>12827.08967842639</v>
      </c>
    </row>
    <row r="115" spans="3:20" x14ac:dyDescent="0.4">
      <c r="F115" s="58" t="s">
        <v>113</v>
      </c>
    </row>
    <row r="120" spans="3:20" x14ac:dyDescent="0.4">
      <c r="C120" s="113" t="s">
        <v>115</v>
      </c>
      <c r="H120" s="132" t="s">
        <v>35</v>
      </c>
      <c r="I120" s="134" t="s">
        <v>125</v>
      </c>
      <c r="J120" s="138"/>
      <c r="K120" s="134" t="s">
        <v>124</v>
      </c>
    </row>
    <row r="121" spans="3:20" x14ac:dyDescent="0.4">
      <c r="C121" s="113"/>
      <c r="H121" s="132"/>
      <c r="I121" s="134"/>
      <c r="J121" s="138"/>
      <c r="K121" s="134"/>
    </row>
    <row r="122" spans="3:20" x14ac:dyDescent="0.4">
      <c r="C122" s="62">
        <v>80000</v>
      </c>
      <c r="F122" s="58" t="s">
        <v>117</v>
      </c>
      <c r="H122" s="139">
        <v>1</v>
      </c>
      <c r="I122" s="57">
        <f t="shared" ref="I122" si="31">+C122</f>
        <v>80000</v>
      </c>
      <c r="K122" s="57">
        <f t="shared" ref="K122" si="32">+C122*H122</f>
        <v>80000</v>
      </c>
    </row>
    <row r="123" spans="3:20" x14ac:dyDescent="0.4">
      <c r="C123" s="127"/>
      <c r="F123" s="58"/>
      <c r="H123" s="66"/>
      <c r="I123" s="57"/>
      <c r="K123" s="57"/>
    </row>
    <row r="124" spans="3:20" ht="18.5" x14ac:dyDescent="0.5">
      <c r="C124" s="127"/>
      <c r="F124" s="59" t="s">
        <v>126</v>
      </c>
      <c r="G124" s="135"/>
      <c r="H124" s="136"/>
      <c r="I124" s="136"/>
      <c r="J124" s="135"/>
      <c r="K124" s="137">
        <f>+SUM(K122:K122)</f>
        <v>80000</v>
      </c>
    </row>
    <row r="129" spans="1:23" ht="21.75" customHeight="1" x14ac:dyDescent="0.5">
      <c r="F129" s="124" t="s">
        <v>123</v>
      </c>
      <c r="K129" s="116">
        <v>2026</v>
      </c>
      <c r="L129" s="116">
        <v>2027</v>
      </c>
      <c r="M129" s="116">
        <v>2028</v>
      </c>
      <c r="N129" s="116">
        <v>2029</v>
      </c>
      <c r="O129" s="116">
        <v>2030</v>
      </c>
      <c r="P129" s="116">
        <v>2031</v>
      </c>
      <c r="Q129" s="116">
        <v>2032</v>
      </c>
      <c r="R129" s="116">
        <v>2033</v>
      </c>
      <c r="S129" s="116">
        <v>2034</v>
      </c>
      <c r="T129" s="116">
        <v>2035</v>
      </c>
    </row>
    <row r="131" spans="1:23" s="91" customFormat="1" ht="18.5" x14ac:dyDescent="0.5">
      <c r="A131" s="88"/>
      <c r="B131" s="88"/>
      <c r="C131" s="88"/>
      <c r="D131" s="88"/>
      <c r="E131" s="90"/>
      <c r="F131" s="59" t="s">
        <v>37</v>
      </c>
      <c r="K131" s="119">
        <f>+K132</f>
        <v>360000</v>
      </c>
      <c r="L131" s="119">
        <f t="shared" ref="L131:T131" si="33">+L132</f>
        <v>456000</v>
      </c>
      <c r="M131" s="119">
        <f t="shared" si="33"/>
        <v>478800</v>
      </c>
      <c r="N131" s="119">
        <f t="shared" si="33"/>
        <v>502740</v>
      </c>
      <c r="O131" s="119">
        <f t="shared" si="33"/>
        <v>527877</v>
      </c>
      <c r="P131" s="119">
        <f t="shared" si="33"/>
        <v>554270.85</v>
      </c>
      <c r="Q131" s="119">
        <f t="shared" si="33"/>
        <v>581984.39249999996</v>
      </c>
      <c r="R131" s="119">
        <f t="shared" si="33"/>
        <v>611083.61212499999</v>
      </c>
      <c r="S131" s="119">
        <f t="shared" si="33"/>
        <v>641637.79273125005</v>
      </c>
      <c r="T131" s="119">
        <f t="shared" si="33"/>
        <v>673719.68236781261</v>
      </c>
      <c r="U131" s="121"/>
      <c r="V131" s="122"/>
      <c r="W131" s="98">
        <v>32323593.742906321</v>
      </c>
    </row>
    <row r="132" spans="1:23" ht="18" customHeight="1" x14ac:dyDescent="0.4">
      <c r="F132" s="58" t="s">
        <v>100</v>
      </c>
      <c r="H132" s="61">
        <v>30000</v>
      </c>
      <c r="I132" s="66"/>
      <c r="K132" s="120">
        <f>+H132*12</f>
        <v>360000</v>
      </c>
      <c r="L132" s="120">
        <f>38000*12</f>
        <v>456000</v>
      </c>
      <c r="M132" s="120">
        <f t="shared" ref="M132" si="34">+L132*(1+SUM($H$27:$H$28))</f>
        <v>478800</v>
      </c>
      <c r="N132" s="120">
        <f t="shared" ref="N132:T132" si="35">+M132*(1+SUM($H$27:$H$28))</f>
        <v>502740</v>
      </c>
      <c r="O132" s="120">
        <f t="shared" si="35"/>
        <v>527877</v>
      </c>
      <c r="P132" s="120">
        <f t="shared" si="35"/>
        <v>554270.85</v>
      </c>
      <c r="Q132" s="120">
        <f t="shared" si="35"/>
        <v>581984.39249999996</v>
      </c>
      <c r="R132" s="120">
        <f t="shared" si="35"/>
        <v>611083.61212499999</v>
      </c>
      <c r="S132" s="120">
        <f t="shared" si="35"/>
        <v>641637.79273125005</v>
      </c>
      <c r="T132" s="120">
        <f t="shared" si="35"/>
        <v>673719.68236781261</v>
      </c>
      <c r="U132" s="117"/>
      <c r="V132" s="123"/>
    </row>
    <row r="133" spans="1:23" ht="18" customHeight="1" x14ac:dyDescent="0.4">
      <c r="F133" s="58"/>
      <c r="H133" s="66"/>
      <c r="I133" s="66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17"/>
      <c r="V133" s="123"/>
    </row>
    <row r="134" spans="1:23" ht="18" customHeight="1" x14ac:dyDescent="0.4">
      <c r="F134" s="100" t="s">
        <v>114</v>
      </c>
      <c r="G134" s="103"/>
      <c r="H134" s="61">
        <v>6</v>
      </c>
      <c r="I134" s="91"/>
      <c r="J134" s="91"/>
      <c r="K134" s="110">
        <f>-(H138)*H134</f>
        <v>-18000</v>
      </c>
      <c r="L134" s="110"/>
      <c r="M134" s="110"/>
      <c r="N134" s="110"/>
      <c r="O134" s="110"/>
      <c r="P134" s="110"/>
      <c r="Q134" s="110"/>
      <c r="R134" s="110"/>
      <c r="S134" s="110"/>
      <c r="T134" s="110"/>
      <c r="U134" s="117"/>
      <c r="V134" s="123"/>
    </row>
    <row r="135" spans="1:23" ht="18" customHeight="1" x14ac:dyDescent="0.4">
      <c r="F135" s="58"/>
      <c r="H135" s="66"/>
      <c r="I135" s="66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17"/>
      <c r="V135" s="123"/>
    </row>
    <row r="136" spans="1:23" ht="18.5" x14ac:dyDescent="0.5">
      <c r="F136" s="59" t="s">
        <v>39</v>
      </c>
      <c r="G136" s="91"/>
      <c r="H136" s="91"/>
      <c r="I136" s="91"/>
      <c r="J136" s="91"/>
      <c r="K136" s="106">
        <f>+MAX(K138:K139)</f>
        <v>36000</v>
      </c>
      <c r="L136" s="106">
        <f t="shared" ref="L136:T136" si="36">+MAX(L138:L139)</f>
        <v>37080</v>
      </c>
      <c r="M136" s="106">
        <f t="shared" si="36"/>
        <v>38304</v>
      </c>
      <c r="N136" s="106">
        <f t="shared" si="36"/>
        <v>40219.200000000004</v>
      </c>
      <c r="O136" s="106">
        <f t="shared" si="36"/>
        <v>42230.16</v>
      </c>
      <c r="P136" s="106">
        <f t="shared" si="36"/>
        <v>44341.667999999998</v>
      </c>
      <c r="Q136" s="106">
        <f t="shared" si="36"/>
        <v>46558.751400000001</v>
      </c>
      <c r="R136" s="106">
        <f t="shared" si="36"/>
        <v>48886.688970000003</v>
      </c>
      <c r="S136" s="106">
        <f t="shared" si="36"/>
        <v>51331.023418500008</v>
      </c>
      <c r="T136" s="106">
        <f t="shared" si="36"/>
        <v>53897.574589425007</v>
      </c>
      <c r="U136" s="117">
        <f t="shared" ref="U136" si="37">+U137+U134</f>
        <v>0</v>
      </c>
    </row>
    <row r="137" spans="1:23" ht="18" hidden="1" customHeight="1" x14ac:dyDescent="0.5">
      <c r="F137" s="59" t="s">
        <v>39</v>
      </c>
      <c r="G137" s="91"/>
      <c r="H137" s="91"/>
      <c r="I137" s="91"/>
      <c r="J137" s="91"/>
      <c r="K137" s="106">
        <f>+K138</f>
        <v>36000</v>
      </c>
      <c r="L137" s="106">
        <f t="shared" ref="L137:T137" si="38">+IF(L132&lt;0,MIN(L138:L140),MAX(L138:L140))</f>
        <v>37080</v>
      </c>
      <c r="M137" s="106">
        <f t="shared" si="38"/>
        <v>38304</v>
      </c>
      <c r="N137" s="106">
        <f t="shared" si="38"/>
        <v>40219.200000000004</v>
      </c>
      <c r="O137" s="106">
        <f t="shared" si="38"/>
        <v>42230.16</v>
      </c>
      <c r="P137" s="106">
        <f t="shared" si="38"/>
        <v>44341.667999999998</v>
      </c>
      <c r="Q137" s="106">
        <f t="shared" si="38"/>
        <v>46558.751400000001</v>
      </c>
      <c r="R137" s="106">
        <f t="shared" si="38"/>
        <v>48886.688970000003</v>
      </c>
      <c r="S137" s="106">
        <f t="shared" si="38"/>
        <v>51331.023418500008</v>
      </c>
      <c r="T137" s="106">
        <f t="shared" si="38"/>
        <v>53897.574589425007</v>
      </c>
      <c r="U137" s="117"/>
      <c r="V137" s="123"/>
    </row>
    <row r="138" spans="1:23" ht="18" customHeight="1" x14ac:dyDescent="0.4">
      <c r="F138" s="58" t="s">
        <v>97</v>
      </c>
      <c r="H138" s="73">
        <v>3000</v>
      </c>
      <c r="I138" s="66"/>
      <c r="K138" s="118">
        <f>+$H138*12</f>
        <v>36000</v>
      </c>
      <c r="L138" s="118">
        <f t="shared" ref="L138:T138" si="39">+K138*(1+$H$27)</f>
        <v>37080</v>
      </c>
      <c r="M138" s="118">
        <f t="shared" si="39"/>
        <v>38192.400000000001</v>
      </c>
      <c r="N138" s="118">
        <f t="shared" si="39"/>
        <v>39338.172000000006</v>
      </c>
      <c r="O138" s="118">
        <f t="shared" si="39"/>
        <v>40518.317160000006</v>
      </c>
      <c r="P138" s="118">
        <f t="shared" si="39"/>
        <v>41733.866674800011</v>
      </c>
      <c r="Q138" s="118">
        <f t="shared" si="39"/>
        <v>42985.882675044013</v>
      </c>
      <c r="R138" s="118">
        <f t="shared" si="39"/>
        <v>44275.459155295335</v>
      </c>
      <c r="S138" s="118">
        <f t="shared" si="39"/>
        <v>45603.722929954194</v>
      </c>
      <c r="T138" s="118">
        <f t="shared" si="39"/>
        <v>46971.834617852823</v>
      </c>
      <c r="U138" s="117"/>
      <c r="V138" s="123"/>
    </row>
    <row r="139" spans="1:23" ht="18" customHeight="1" x14ac:dyDescent="0.4">
      <c r="F139" s="58" t="s">
        <v>40</v>
      </c>
      <c r="H139" s="76">
        <v>0.08</v>
      </c>
      <c r="I139" s="66"/>
      <c r="K139" s="118">
        <f>+K131*$H$139</f>
        <v>28800</v>
      </c>
      <c r="L139" s="118">
        <f t="shared" ref="L139:T139" si="40">+L131*$H$139</f>
        <v>36480</v>
      </c>
      <c r="M139" s="118">
        <f t="shared" si="40"/>
        <v>38304</v>
      </c>
      <c r="N139" s="118">
        <f t="shared" si="40"/>
        <v>40219.200000000004</v>
      </c>
      <c r="O139" s="118">
        <f t="shared" si="40"/>
        <v>42230.16</v>
      </c>
      <c r="P139" s="118">
        <f t="shared" si="40"/>
        <v>44341.667999999998</v>
      </c>
      <c r="Q139" s="118">
        <f t="shared" si="40"/>
        <v>46558.751400000001</v>
      </c>
      <c r="R139" s="118">
        <f t="shared" si="40"/>
        <v>48886.688970000003</v>
      </c>
      <c r="S139" s="118">
        <f t="shared" si="40"/>
        <v>51331.023418500008</v>
      </c>
      <c r="T139" s="118">
        <f t="shared" si="40"/>
        <v>53897.574589425007</v>
      </c>
      <c r="V139" s="123"/>
    </row>
    <row r="140" spans="1:23" ht="17.149999999999999" customHeight="1" x14ac:dyDescent="0.4">
      <c r="V140" s="123"/>
    </row>
    <row r="141" spans="1:23" s="53" customFormat="1" x14ac:dyDescent="0.4">
      <c r="A141" s="36"/>
      <c r="B141" s="36"/>
      <c r="C141" s="36"/>
      <c r="D141" s="36"/>
      <c r="E141" s="72"/>
      <c r="W141" s="72"/>
    </row>
    <row r="142" spans="1:23" ht="18" customHeight="1" x14ac:dyDescent="0.4">
      <c r="F142" s="58"/>
      <c r="H142" s="66"/>
      <c r="I142" s="6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V142" s="123"/>
    </row>
    <row r="143" spans="1:23" x14ac:dyDescent="0.4">
      <c r="V143" s="123"/>
    </row>
    <row r="144" spans="1:23" x14ac:dyDescent="0.4">
      <c r="V144" s="123"/>
    </row>
    <row r="145" spans="1:23" ht="18.5" x14ac:dyDescent="0.5">
      <c r="F145" s="59" t="s">
        <v>38</v>
      </c>
      <c r="K145" s="119">
        <f>+SUM(K146:K148)</f>
        <v>399600</v>
      </c>
      <c r="L145" s="119">
        <f t="shared" ref="L145:T147" si="41">+K145*(1+$H$27)</f>
        <v>411588</v>
      </c>
      <c r="M145" s="119">
        <f t="shared" si="41"/>
        <v>423935.64</v>
      </c>
      <c r="N145" s="119">
        <f t="shared" si="41"/>
        <v>436653.70920000004</v>
      </c>
      <c r="O145" s="119">
        <f t="shared" si="41"/>
        <v>449753.32047600008</v>
      </c>
      <c r="P145" s="119">
        <f t="shared" si="41"/>
        <v>463245.92009028012</v>
      </c>
      <c r="Q145" s="119">
        <f t="shared" si="41"/>
        <v>477143.29769298853</v>
      </c>
      <c r="R145" s="119">
        <f t="shared" si="41"/>
        <v>491457.59662377823</v>
      </c>
      <c r="S145" s="119">
        <f t="shared" si="41"/>
        <v>506201.3245224916</v>
      </c>
      <c r="T145" s="119">
        <f t="shared" si="41"/>
        <v>521387.36425816634</v>
      </c>
      <c r="U145" s="117"/>
      <c r="V145" s="123"/>
    </row>
    <row r="146" spans="1:23" ht="18" customHeight="1" x14ac:dyDescent="0.4">
      <c r="E146" s="75"/>
      <c r="F146" s="58" t="s">
        <v>97</v>
      </c>
      <c r="H146" s="73">
        <v>3000</v>
      </c>
      <c r="I146" s="66" t="s">
        <v>88</v>
      </c>
      <c r="K146" s="118">
        <f>+$H146*12</f>
        <v>36000</v>
      </c>
      <c r="L146" s="118">
        <f t="shared" si="41"/>
        <v>37080</v>
      </c>
      <c r="M146" s="118">
        <f t="shared" si="41"/>
        <v>38192.400000000001</v>
      </c>
      <c r="N146" s="118">
        <f t="shared" si="41"/>
        <v>39338.172000000006</v>
      </c>
      <c r="O146" s="118">
        <f t="shared" si="41"/>
        <v>40518.317160000006</v>
      </c>
      <c r="P146" s="118">
        <f t="shared" si="41"/>
        <v>41733.866674800011</v>
      </c>
      <c r="Q146" s="118">
        <f t="shared" si="41"/>
        <v>42985.882675044013</v>
      </c>
      <c r="R146" s="118">
        <f t="shared" si="41"/>
        <v>44275.459155295335</v>
      </c>
      <c r="S146" s="118">
        <f t="shared" si="41"/>
        <v>45603.722929954194</v>
      </c>
      <c r="T146" s="118">
        <f t="shared" si="41"/>
        <v>46971.834617852823</v>
      </c>
      <c r="U146" s="117"/>
      <c r="V146" s="123"/>
    </row>
    <row r="147" spans="1:23" ht="18" customHeight="1" x14ac:dyDescent="0.4">
      <c r="E147" s="80">
        <v>9</v>
      </c>
      <c r="F147" s="58" t="s">
        <v>103</v>
      </c>
      <c r="H147" s="73">
        <v>2200</v>
      </c>
      <c r="I147" s="66" t="s">
        <v>88</v>
      </c>
      <c r="K147" s="118">
        <f>+$H147*$E147*12</f>
        <v>237600</v>
      </c>
      <c r="L147" s="118">
        <f t="shared" si="41"/>
        <v>244728</v>
      </c>
      <c r="M147" s="118">
        <f t="shared" si="41"/>
        <v>252069.84</v>
      </c>
      <c r="N147" s="118">
        <f t="shared" si="41"/>
        <v>259631.93520000001</v>
      </c>
      <c r="O147" s="118">
        <f t="shared" si="41"/>
        <v>267420.89325600001</v>
      </c>
      <c r="P147" s="118">
        <f t="shared" si="41"/>
        <v>275443.52005368</v>
      </c>
      <c r="Q147" s="118">
        <f t="shared" si="41"/>
        <v>283706.82565529039</v>
      </c>
      <c r="R147" s="118">
        <f t="shared" si="41"/>
        <v>292218.03042494913</v>
      </c>
      <c r="S147" s="118">
        <f t="shared" si="41"/>
        <v>300984.57133769762</v>
      </c>
      <c r="T147" s="118">
        <f t="shared" si="41"/>
        <v>310014.10847782856</v>
      </c>
      <c r="U147" s="117"/>
      <c r="V147" s="123"/>
    </row>
    <row r="148" spans="1:23" ht="18" customHeight="1" x14ac:dyDescent="0.4">
      <c r="E148" s="75"/>
      <c r="F148" s="58" t="s">
        <v>104</v>
      </c>
      <c r="H148" s="76">
        <v>0.35</v>
      </c>
      <c r="I148" s="66" t="s">
        <v>105</v>
      </c>
      <c r="K148" s="118">
        <f>+$H148*K131</f>
        <v>125999.99999999999</v>
      </c>
      <c r="L148" s="118">
        <f t="shared" ref="L148:T148" si="42">+$H148*L131</f>
        <v>159600</v>
      </c>
      <c r="M148" s="118">
        <f t="shared" si="42"/>
        <v>167580</v>
      </c>
      <c r="N148" s="118">
        <f t="shared" si="42"/>
        <v>175959</v>
      </c>
      <c r="O148" s="118">
        <f t="shared" si="42"/>
        <v>184756.94999999998</v>
      </c>
      <c r="P148" s="118">
        <f t="shared" si="42"/>
        <v>193994.79749999999</v>
      </c>
      <c r="Q148" s="118">
        <f t="shared" si="42"/>
        <v>203694.53737499999</v>
      </c>
      <c r="R148" s="118">
        <f t="shared" si="42"/>
        <v>213879.26424374999</v>
      </c>
      <c r="S148" s="118">
        <f t="shared" si="42"/>
        <v>224573.22745593751</v>
      </c>
      <c r="T148" s="118">
        <f t="shared" si="42"/>
        <v>235801.8888287344</v>
      </c>
      <c r="U148" s="117"/>
      <c r="V148" s="123"/>
    </row>
    <row r="149" spans="1:23" x14ac:dyDescent="0.4"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</row>
    <row r="150" spans="1:23" x14ac:dyDescent="0.4"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</row>
    <row r="151" spans="1:23" x14ac:dyDescent="0.4"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</row>
    <row r="152" spans="1:23" s="91" customFormat="1" ht="18.5" x14ac:dyDescent="0.5">
      <c r="A152" s="88"/>
      <c r="B152" s="88"/>
      <c r="C152" s="88"/>
      <c r="D152" s="88"/>
      <c r="E152" s="90"/>
      <c r="F152" s="59" t="s">
        <v>122</v>
      </c>
      <c r="K152" s="119">
        <f>+K131-K145-K136-K134</f>
        <v>-57600</v>
      </c>
      <c r="L152" s="119">
        <f t="shared" ref="L152:T152" si="43">+L131-L145-L136-L134</f>
        <v>7332</v>
      </c>
      <c r="M152" s="119">
        <f t="shared" si="43"/>
        <v>16560.359999999986</v>
      </c>
      <c r="N152" s="119">
        <f t="shared" si="43"/>
        <v>25867.090799999954</v>
      </c>
      <c r="O152" s="119">
        <f t="shared" si="43"/>
        <v>35893.519523999916</v>
      </c>
      <c r="P152" s="119">
        <f t="shared" si="43"/>
        <v>46683.261909719855</v>
      </c>
      <c r="Q152" s="119">
        <f t="shared" si="43"/>
        <v>58282.343407011424</v>
      </c>
      <c r="R152" s="119">
        <f t="shared" si="43"/>
        <v>70739.326531221755</v>
      </c>
      <c r="S152" s="119">
        <f t="shared" si="43"/>
        <v>84105.444790258451</v>
      </c>
      <c r="T152" s="119">
        <f t="shared" si="43"/>
        <v>98434.743520221265</v>
      </c>
      <c r="U152" s="121"/>
      <c r="V152" s="122"/>
      <c r="W152" s="98">
        <f>+SUM(K152:T152)</f>
        <v>386298.09048243257</v>
      </c>
    </row>
    <row r="154" spans="1:23" s="91" customFormat="1" ht="18.5" x14ac:dyDescent="0.5">
      <c r="A154" s="88"/>
      <c r="B154" s="88"/>
      <c r="C154" s="88"/>
      <c r="D154" s="88"/>
      <c r="E154" s="90"/>
      <c r="F154" s="59" t="s">
        <v>51</v>
      </c>
      <c r="K154" s="95">
        <f>+K152-K124</f>
        <v>-137600</v>
      </c>
      <c r="L154" s="95">
        <f t="shared" ref="L154:T154" si="44">+L152-L124</f>
        <v>7332</v>
      </c>
      <c r="M154" s="95">
        <f t="shared" si="44"/>
        <v>16560.359999999986</v>
      </c>
      <c r="N154" s="95">
        <f t="shared" si="44"/>
        <v>25867.090799999954</v>
      </c>
      <c r="O154" s="95">
        <f t="shared" si="44"/>
        <v>35893.519523999916</v>
      </c>
      <c r="P154" s="95">
        <f t="shared" si="44"/>
        <v>46683.261909719855</v>
      </c>
      <c r="Q154" s="95">
        <f t="shared" si="44"/>
        <v>58282.343407011424</v>
      </c>
      <c r="R154" s="95">
        <f t="shared" si="44"/>
        <v>70739.326531221755</v>
      </c>
      <c r="S154" s="95">
        <f t="shared" si="44"/>
        <v>84105.444790258451</v>
      </c>
      <c r="T154" s="95">
        <f t="shared" si="44"/>
        <v>98434.743520221265</v>
      </c>
      <c r="W154" s="98">
        <f>+SUM(K154:T154)</f>
        <v>306298.09048243263</v>
      </c>
    </row>
    <row r="161" spans="6:20" ht="18.5" x14ac:dyDescent="0.5">
      <c r="F161" s="59" t="s">
        <v>127</v>
      </c>
      <c r="G161" s="91"/>
      <c r="H161" s="91"/>
      <c r="I161" s="91"/>
      <c r="J161" s="91"/>
      <c r="K161" s="95">
        <f>+K154+K107</f>
        <v>90526.92623136309</v>
      </c>
      <c r="L161" s="95">
        <f t="shared" ref="L161:T161" si="45">+L154+L107</f>
        <v>365376.94858973334</v>
      </c>
      <c r="M161" s="95">
        <f t="shared" si="45"/>
        <v>439379.71110742528</v>
      </c>
      <c r="N161" s="95">
        <f t="shared" si="45"/>
        <v>463235.47242997243</v>
      </c>
      <c r="O161" s="95">
        <f t="shared" si="45"/>
        <v>520606.12041189405</v>
      </c>
      <c r="P161" s="95">
        <f t="shared" si="45"/>
        <v>581871.56702372513</v>
      </c>
      <c r="Q161" s="95">
        <f t="shared" si="45"/>
        <v>652278.16437375371</v>
      </c>
      <c r="R161" s="95">
        <f t="shared" si="45"/>
        <v>717001.16784631938</v>
      </c>
      <c r="S161" s="95">
        <f t="shared" si="45"/>
        <v>791353.61571147561</v>
      </c>
      <c r="T161" s="95">
        <f t="shared" si="45"/>
        <v>870578.75765407365</v>
      </c>
    </row>
    <row r="164" spans="6:20" x14ac:dyDescent="0.4">
      <c r="F164" s="46" t="s">
        <v>129</v>
      </c>
      <c r="K164" s="141">
        <f>-M21*56*6</f>
        <v>-504000</v>
      </c>
    </row>
    <row r="165" spans="6:20" x14ac:dyDescent="0.4">
      <c r="F165" s="46" t="s">
        <v>130</v>
      </c>
      <c r="K165" s="141">
        <f>-H138*6</f>
        <v>-18000</v>
      </c>
    </row>
    <row r="168" spans="6:20" ht="18.5" x14ac:dyDescent="0.5">
      <c r="F168" s="59" t="s">
        <v>131</v>
      </c>
      <c r="G168" s="91"/>
      <c r="H168" s="91"/>
      <c r="I168" s="91"/>
      <c r="J168" s="91"/>
      <c r="K168" s="95">
        <f>+SUM(K161:K165)</f>
        <v>-431473.07376863691</v>
      </c>
      <c r="L168" s="95">
        <f t="shared" ref="L168:T168" si="46">+SUM(L161:L165)</f>
        <v>365376.94858973334</v>
      </c>
      <c r="M168" s="95">
        <f t="shared" si="46"/>
        <v>439379.71110742528</v>
      </c>
      <c r="N168" s="95">
        <f t="shared" si="46"/>
        <v>463235.47242997243</v>
      </c>
      <c r="O168" s="95">
        <f t="shared" si="46"/>
        <v>520606.12041189405</v>
      </c>
      <c r="P168" s="95">
        <f t="shared" si="46"/>
        <v>581871.56702372513</v>
      </c>
      <c r="Q168" s="95">
        <f t="shared" si="46"/>
        <v>652278.16437375371</v>
      </c>
      <c r="R168" s="95">
        <f t="shared" si="46"/>
        <v>717001.16784631938</v>
      </c>
      <c r="S168" s="95">
        <f t="shared" si="46"/>
        <v>791353.61571147561</v>
      </c>
      <c r="T168" s="95">
        <f t="shared" si="46"/>
        <v>870578.75765407365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E17D-C1AB-45EF-BC0D-77F240EE2CCC}">
  <dimension ref="B2:Q22"/>
  <sheetViews>
    <sheetView showGridLines="0" workbookViewId="0">
      <selection activeCell="C8" sqref="C8"/>
    </sheetView>
  </sheetViews>
  <sheetFormatPr defaultRowHeight="12.5" x14ac:dyDescent="0.25"/>
  <cols>
    <col min="2" max="2" width="24.1796875" customWidth="1"/>
    <col min="3" max="3" width="20.453125" bestFit="1" customWidth="1"/>
    <col min="5" max="5" width="12.26953125" bestFit="1" customWidth="1"/>
    <col min="6" max="6" width="51.81640625" bestFit="1" customWidth="1"/>
    <col min="17" max="17" width="0" hidden="1" customWidth="1"/>
  </cols>
  <sheetData>
    <row r="2" spans="2:17" s="219" customFormat="1" ht="13.5" thickBot="1" x14ac:dyDescent="0.35">
      <c r="B2" s="218" t="s">
        <v>209</v>
      </c>
      <c r="C2" s="218"/>
      <c r="D2" s="218"/>
      <c r="E2" s="218"/>
      <c r="F2" s="218"/>
      <c r="G2" s="218"/>
      <c r="H2" s="218"/>
      <c r="I2" s="218"/>
      <c r="J2" s="218"/>
    </row>
    <row r="4" spans="2:17" x14ac:dyDescent="0.25">
      <c r="B4" t="s">
        <v>210</v>
      </c>
      <c r="C4" s="62" t="s">
        <v>223</v>
      </c>
      <c r="E4" s="220" t="s">
        <v>237</v>
      </c>
      <c r="F4" s="113" t="s">
        <v>225</v>
      </c>
    </row>
    <row r="5" spans="2:17" x14ac:dyDescent="0.25">
      <c r="B5" t="s">
        <v>239</v>
      </c>
      <c r="C5" s="222">
        <v>483</v>
      </c>
      <c r="E5" s="220" t="s">
        <v>237</v>
      </c>
    </row>
    <row r="6" spans="2:17" x14ac:dyDescent="0.25">
      <c r="B6" t="s">
        <v>240</v>
      </c>
      <c r="C6" s="62" t="s">
        <v>227</v>
      </c>
      <c r="E6" s="220" t="s">
        <v>237</v>
      </c>
      <c r="F6" s="113" t="s">
        <v>230</v>
      </c>
    </row>
    <row r="7" spans="2:17" x14ac:dyDescent="0.25">
      <c r="B7" t="s">
        <v>283</v>
      </c>
      <c r="C7" s="232">
        <v>2500000</v>
      </c>
      <c r="E7" s="220"/>
      <c r="F7" s="113"/>
    </row>
    <row r="8" spans="2:17" x14ac:dyDescent="0.25">
      <c r="B8" t="s">
        <v>215</v>
      </c>
      <c r="C8" s="229" t="s">
        <v>267</v>
      </c>
    </row>
    <row r="9" spans="2:17" x14ac:dyDescent="0.25">
      <c r="B9" s="113" t="s">
        <v>273</v>
      </c>
      <c r="C9" s="62" t="s">
        <v>242</v>
      </c>
      <c r="E9" s="221" t="s">
        <v>238</v>
      </c>
      <c r="F9" t="s">
        <v>212</v>
      </c>
    </row>
    <row r="11" spans="2:17" x14ac:dyDescent="0.25">
      <c r="B11" t="s">
        <v>211</v>
      </c>
      <c r="C11" s="62" t="s">
        <v>282</v>
      </c>
      <c r="E11" s="220" t="s">
        <v>237</v>
      </c>
      <c r="F11" t="s">
        <v>212</v>
      </c>
      <c r="Q11" s="113" t="s">
        <v>242</v>
      </c>
    </row>
    <row r="12" spans="2:17" x14ac:dyDescent="0.25">
      <c r="B12" s="113" t="s">
        <v>233</v>
      </c>
      <c r="C12" s="181">
        <v>46753</v>
      </c>
      <c r="E12" s="220" t="s">
        <v>237</v>
      </c>
    </row>
    <row r="14" spans="2:17" x14ac:dyDescent="0.25">
      <c r="B14" s="215" t="s">
        <v>216</v>
      </c>
    </row>
    <row r="15" spans="2:17" x14ac:dyDescent="0.25">
      <c r="B15" t="s">
        <v>217</v>
      </c>
      <c r="C15" s="62" t="s">
        <v>234</v>
      </c>
      <c r="E15" s="220" t="s">
        <v>237</v>
      </c>
      <c r="F15" t="s">
        <v>218</v>
      </c>
    </row>
    <row r="18" spans="2:6" x14ac:dyDescent="0.25">
      <c r="B18" s="215" t="s">
        <v>219</v>
      </c>
    </row>
    <row r="19" spans="2:6" x14ac:dyDescent="0.25">
      <c r="B19" t="s">
        <v>151</v>
      </c>
      <c r="C19" s="62">
        <v>2030</v>
      </c>
      <c r="E19" s="220" t="s">
        <v>237</v>
      </c>
      <c r="F19" t="s">
        <v>220</v>
      </c>
    </row>
    <row r="22" spans="2:6" x14ac:dyDescent="0.25">
      <c r="B22" s="231"/>
    </row>
  </sheetData>
  <scenarios current="0" show="0">
    <scenario name="Bank Loan" locked="1" count="1" user="WHITEMALAGA" comment="Created by WHITEMALAGA on 26/07/2025">
      <inputCells r="Q11" val="No"/>
    </scenario>
  </scenarios>
  <dataValidations count="1">
    <dataValidation type="list" allowBlank="1" showInputMessage="1" showErrorMessage="1" sqref="Q11" xr:uid="{D6C3FC23-CB82-4618-86DD-76B194A3ADC0}">
      <formula1>$Q$11:$Q$11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427A9D-F00A-496A-886F-C00FEA08BFAB}">
          <x14:formula1>
            <xm:f>Listings!$B$4:$B$8</xm:f>
          </x14:formula1>
          <xm:sqref>C4</xm:sqref>
        </x14:dataValidation>
        <x14:dataValidation type="list" allowBlank="1" showInputMessage="1" showErrorMessage="1" xr:uid="{D5327DA2-FF37-449D-B6EF-A6C5BB0E269F}">
          <x14:formula1>
            <xm:f>Listings!B$29:B$30</xm:f>
          </x14:formula1>
          <xm:sqref>C15</xm:sqref>
        </x14:dataValidation>
        <x14:dataValidation type="list" allowBlank="1" showInputMessage="1" showErrorMessage="1" xr:uid="{31DB3CEF-19B7-4ADE-AB72-1939BD8206BE}">
          <x14:formula1>
            <xm:f>Listings!D$4:D$5</xm:f>
          </x14:formula1>
          <xm:sqref>C9 C11</xm:sqref>
        </x14:dataValidation>
        <x14:dataValidation type="list" allowBlank="1" showInputMessage="1" showErrorMessage="1" xr:uid="{A7F77613-BA98-4616-84B8-8F1B247AF174}">
          <x14:formula1>
            <xm:f>Listings!B$12:B$15</xm:f>
          </x14:formula1>
          <xm:sqref>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E65D-56B0-4FBB-A004-7FE0A83A30CF}">
  <dimension ref="A3:AC209"/>
  <sheetViews>
    <sheetView showGridLines="0" tabSelected="1" topLeftCell="D104" zoomScale="65" zoomScaleNormal="70" workbookViewId="0">
      <selection activeCell="R111" sqref="R111"/>
    </sheetView>
  </sheetViews>
  <sheetFormatPr defaultColWidth="9.1796875" defaultRowHeight="15" outlineLevelRow="2" x14ac:dyDescent="0.4"/>
  <cols>
    <col min="1" max="1" width="10.54296875" customWidth="1"/>
    <col min="2" max="2" width="17.81640625" customWidth="1"/>
    <col min="3" max="3" width="11.7265625" customWidth="1"/>
    <col min="4" max="4" width="2.54296875" customWidth="1"/>
    <col min="5" max="5" width="9.81640625" style="69" customWidth="1"/>
    <col min="6" max="6" width="41.1796875" style="46" customWidth="1"/>
    <col min="7" max="7" width="13.90625" style="46" bestFit="1" customWidth="1"/>
    <col min="8" max="8" width="12.54296875" style="46" customWidth="1"/>
    <col min="9" max="9" width="11.7265625" style="46" customWidth="1"/>
    <col min="10" max="10" width="2" style="46" customWidth="1"/>
    <col min="11" max="21" width="13.453125" style="46" customWidth="1"/>
    <col min="22" max="22" width="9.7265625" style="123" customWidth="1"/>
    <col min="23" max="23" width="16.7265625" style="125" customWidth="1"/>
    <col min="24" max="16384" width="9.1796875" style="46"/>
  </cols>
  <sheetData>
    <row r="3" spans="2:24" x14ac:dyDescent="0.4">
      <c r="K3" s="46">
        <v>2026</v>
      </c>
      <c r="L3" s="46">
        <v>2027</v>
      </c>
      <c r="M3" s="46">
        <v>2028</v>
      </c>
      <c r="N3" s="46">
        <v>2029</v>
      </c>
      <c r="O3" s="46">
        <v>2030</v>
      </c>
      <c r="P3" s="46">
        <v>2031</v>
      </c>
      <c r="Q3" s="46">
        <v>2032</v>
      </c>
      <c r="R3" s="46">
        <v>2033</v>
      </c>
      <c r="S3" s="46">
        <v>2034</v>
      </c>
      <c r="T3" s="46">
        <v>2035</v>
      </c>
    </row>
    <row r="4" spans="2:24" x14ac:dyDescent="0.4">
      <c r="F4" s="91" t="s">
        <v>292</v>
      </c>
    </row>
    <row r="5" spans="2:24" x14ac:dyDescent="0.4">
      <c r="F5" s="46" t="s">
        <v>291</v>
      </c>
      <c r="K5" s="60">
        <v>0.15</v>
      </c>
      <c r="L5" s="60">
        <v>0</v>
      </c>
      <c r="M5" s="60">
        <v>0.85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</row>
    <row r="6" spans="2:24" x14ac:dyDescent="0.4">
      <c r="F6" s="46" t="s">
        <v>293</v>
      </c>
      <c r="K6" s="60">
        <v>0</v>
      </c>
      <c r="L6" s="60">
        <v>0</v>
      </c>
      <c r="M6" s="60">
        <v>1</v>
      </c>
      <c r="N6" s="60">
        <v>0</v>
      </c>
      <c r="O6" s="60">
        <v>0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</row>
    <row r="12" spans="2:24" ht="21.5" customHeight="1" x14ac:dyDescent="0.4">
      <c r="F12" s="258" t="s">
        <v>292</v>
      </c>
      <c r="G12" s="268"/>
      <c r="H12" s="269"/>
      <c r="I12" s="270"/>
      <c r="J12" s="268"/>
      <c r="K12" s="271">
        <v>2026</v>
      </c>
      <c r="L12" s="271">
        <v>2027</v>
      </c>
      <c r="M12" s="271">
        <v>2028</v>
      </c>
      <c r="N12" s="271">
        <v>2029</v>
      </c>
      <c r="O12" s="271">
        <v>2030</v>
      </c>
      <c r="P12" s="271">
        <v>2031</v>
      </c>
      <c r="Q12" s="271">
        <v>2032</v>
      </c>
      <c r="R12" s="271">
        <v>2033</v>
      </c>
      <c r="S12" s="271">
        <v>2034</v>
      </c>
      <c r="T12" s="272">
        <v>2035</v>
      </c>
      <c r="U12" s="131"/>
      <c r="W12" s="46"/>
      <c r="X12" s="125"/>
    </row>
    <row r="13" spans="2:24" x14ac:dyDescent="0.4">
      <c r="C13" s="46"/>
      <c r="F13" s="255"/>
      <c r="G13" s="255"/>
      <c r="H13" s="273"/>
      <c r="I13" s="255"/>
      <c r="J13" s="274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W13" s="184"/>
    </row>
    <row r="14" spans="2:24" ht="18" customHeight="1" x14ac:dyDescent="0.4">
      <c r="C14" s="113"/>
      <c r="F14" s="240" t="s">
        <v>295</v>
      </c>
      <c r="G14" s="243"/>
      <c r="H14" s="244"/>
      <c r="I14" s="242" t="s">
        <v>294</v>
      </c>
      <c r="J14" s="245"/>
      <c r="K14" s="246"/>
      <c r="L14" s="243"/>
      <c r="M14" s="243"/>
      <c r="N14" s="247"/>
      <c r="O14" s="247"/>
      <c r="P14" s="247"/>
      <c r="Q14" s="247"/>
      <c r="R14" s="247"/>
      <c r="S14" s="247"/>
      <c r="T14" s="247"/>
      <c r="W14" s="184"/>
    </row>
    <row r="15" spans="2:24" ht="18" customHeight="1" x14ac:dyDescent="0.4">
      <c r="C15" s="127"/>
      <c r="F15" s="250" t="s">
        <v>297</v>
      </c>
      <c r="G15" s="253"/>
      <c r="H15" s="253"/>
      <c r="I15" s="251">
        <f>-FORM!C7</f>
        <v>-2500000</v>
      </c>
      <c r="J15" s="253"/>
      <c r="K15" s="251">
        <f>+K$5*$I15</f>
        <v>-375000</v>
      </c>
      <c r="L15" s="251">
        <f>+L$5*$I15</f>
        <v>0</v>
      </c>
      <c r="M15" s="251">
        <f>+M$5*$I15</f>
        <v>-2125000</v>
      </c>
      <c r="N15" s="251">
        <f t="shared" ref="N15:T15" si="0">+N5*$I15</f>
        <v>0</v>
      </c>
      <c r="O15" s="251">
        <f t="shared" si="0"/>
        <v>0</v>
      </c>
      <c r="P15" s="251">
        <f t="shared" si="0"/>
        <v>0</v>
      </c>
      <c r="Q15" s="251">
        <f t="shared" si="0"/>
        <v>0</v>
      </c>
      <c r="R15" s="251">
        <f t="shared" si="0"/>
        <v>0</v>
      </c>
      <c r="S15" s="251">
        <f t="shared" si="0"/>
        <v>0</v>
      </c>
      <c r="T15" s="251">
        <f t="shared" si="0"/>
        <v>0</v>
      </c>
    </row>
    <row r="16" spans="2:24" ht="18" customHeight="1" x14ac:dyDescent="0.4">
      <c r="B16" s="238">
        <v>1.2E-2</v>
      </c>
      <c r="C16" s="127"/>
      <c r="F16" s="250" t="s">
        <v>300</v>
      </c>
      <c r="G16" s="253"/>
      <c r="H16" s="264"/>
      <c r="I16" s="251">
        <f>+$I$15*$B$16</f>
        <v>-30000</v>
      </c>
      <c r="J16" s="253"/>
      <c r="K16" s="251">
        <f>+I16</f>
        <v>-30000</v>
      </c>
      <c r="L16" s="251">
        <v>0</v>
      </c>
      <c r="M16" s="251">
        <v>0</v>
      </c>
      <c r="N16" s="251">
        <v>0</v>
      </c>
      <c r="O16" s="251">
        <v>0</v>
      </c>
      <c r="P16" s="251">
        <v>0</v>
      </c>
      <c r="Q16" s="251">
        <v>0</v>
      </c>
      <c r="R16" s="251">
        <v>0</v>
      </c>
      <c r="S16" s="251">
        <v>0</v>
      </c>
      <c r="T16" s="251">
        <v>0</v>
      </c>
    </row>
    <row r="17" spans="1:24" ht="18" customHeight="1" x14ac:dyDescent="0.4">
      <c r="B17" s="239">
        <v>5.0000000000000001E-3</v>
      </c>
      <c r="C17" s="127"/>
      <c r="F17" s="250" t="s">
        <v>298</v>
      </c>
      <c r="G17" s="253"/>
      <c r="H17" s="264"/>
      <c r="I17" s="251">
        <f>+$I$15*$B$17</f>
        <v>-12500</v>
      </c>
      <c r="J17" s="253"/>
      <c r="K17" s="251">
        <f>+I17</f>
        <v>-12500</v>
      </c>
      <c r="L17" s="251">
        <v>0</v>
      </c>
      <c r="M17" s="251">
        <v>0</v>
      </c>
      <c r="N17" s="251">
        <v>0</v>
      </c>
      <c r="O17" s="251">
        <v>0</v>
      </c>
      <c r="P17" s="251">
        <v>0</v>
      </c>
      <c r="Q17" s="251">
        <v>0</v>
      </c>
      <c r="R17" s="251">
        <v>0</v>
      </c>
      <c r="S17" s="251">
        <v>0</v>
      </c>
      <c r="T17" s="251">
        <v>0</v>
      </c>
    </row>
    <row r="18" spans="1:24" ht="18" customHeight="1" x14ac:dyDescent="0.4">
      <c r="B18" s="239">
        <v>2.3E-3</v>
      </c>
      <c r="C18" s="127"/>
      <c r="F18" s="250" t="s">
        <v>299</v>
      </c>
      <c r="G18" s="253"/>
      <c r="H18" s="264"/>
      <c r="I18" s="251">
        <f>+$I$15*$B$18</f>
        <v>-5750</v>
      </c>
      <c r="J18" s="253"/>
      <c r="K18" s="251">
        <f>+I18</f>
        <v>-5750</v>
      </c>
      <c r="L18" s="251">
        <v>0</v>
      </c>
      <c r="M18" s="251">
        <v>0</v>
      </c>
      <c r="N18" s="251">
        <v>0</v>
      </c>
      <c r="O18" s="251">
        <v>0</v>
      </c>
      <c r="P18" s="251">
        <v>0</v>
      </c>
      <c r="Q18" s="251">
        <v>0</v>
      </c>
      <c r="R18" s="251">
        <v>0</v>
      </c>
      <c r="S18" s="251">
        <v>0</v>
      </c>
      <c r="T18" s="251">
        <v>0</v>
      </c>
    </row>
    <row r="19" spans="1:24" ht="18" customHeight="1" x14ac:dyDescent="0.4">
      <c r="C19" s="127"/>
      <c r="F19" s="250"/>
      <c r="G19" s="253"/>
      <c r="H19" s="264"/>
      <c r="I19" s="264"/>
      <c r="J19" s="253"/>
      <c r="K19" s="251"/>
      <c r="L19" s="251"/>
      <c r="M19" s="251"/>
      <c r="N19" s="251"/>
      <c r="O19" s="251"/>
      <c r="P19" s="251"/>
      <c r="Q19" s="251"/>
      <c r="R19" s="251"/>
      <c r="S19" s="251"/>
      <c r="T19" s="251"/>
    </row>
    <row r="20" spans="1:24" ht="16.5" x14ac:dyDescent="0.45">
      <c r="B20" s="205" t="s">
        <v>171</v>
      </c>
      <c r="C20" s="205" t="s">
        <v>172</v>
      </c>
      <c r="F20" s="265"/>
      <c r="G20" s="266"/>
      <c r="H20" s="266"/>
      <c r="I20" s="253"/>
      <c r="J20" s="267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W20" s="184"/>
    </row>
    <row r="21" spans="1:24" ht="17.5" customHeight="1" x14ac:dyDescent="0.4">
      <c r="B21" s="113"/>
      <c r="C21" s="113"/>
      <c r="F21" s="240" t="s">
        <v>296</v>
      </c>
      <c r="G21" s="242" t="s">
        <v>171</v>
      </c>
      <c r="H21" s="242" t="s">
        <v>172</v>
      </c>
      <c r="I21" s="242" t="s">
        <v>294</v>
      </c>
      <c r="J21" s="245"/>
      <c r="K21" s="246"/>
      <c r="L21" s="243"/>
      <c r="M21" s="243"/>
      <c r="N21" s="247"/>
      <c r="O21" s="247"/>
      <c r="P21" s="247"/>
      <c r="Q21" s="247"/>
      <c r="R21" s="247"/>
      <c r="S21" s="247"/>
      <c r="T21" s="247"/>
      <c r="W21" s="184"/>
    </row>
    <row r="22" spans="1:24" ht="18" customHeight="1" x14ac:dyDescent="0.4">
      <c r="B22" s="62">
        <f>+FORM!C5</f>
        <v>483</v>
      </c>
      <c r="C22" s="62">
        <f>-IF(FORM!C6="Renovated", 0, IF(FORM!C6="Partially renovated",0.5 * IFERROR(VLOOKUP(IFERROR(VLOOKUP(FORM!$C$4,Table1[#All], 2, FALSE), ""), PEM!$A$1:$F$14, 6, FALSE), 0), IF(OR(FORM!C6="Pending to be renovated", FORM!C6="Not built"),IFERROR(VLOOKUP(IFERROR(VLOOKUP(FORM!$C$4,Table1[#All], 2, FALSE),""), PEM!$A$1:$F$14, 6, FALSE), 0),
   "")))</f>
        <v>-623.81475</v>
      </c>
      <c r="F22" s="250" t="s">
        <v>173</v>
      </c>
      <c r="G22" s="251">
        <f>+B22</f>
        <v>483</v>
      </c>
      <c r="H22" s="251">
        <f>+C22</f>
        <v>-623.81475</v>
      </c>
      <c r="I22" s="252">
        <f>+G22*H22</f>
        <v>-301302.52425000002</v>
      </c>
      <c r="J22" s="253"/>
      <c r="K22" s="251">
        <f t="shared" ref="K22:S24" si="1">+K$6*$I22</f>
        <v>0</v>
      </c>
      <c r="L22" s="251">
        <f t="shared" si="1"/>
        <v>0</v>
      </c>
      <c r="M22" s="251">
        <f t="shared" si="1"/>
        <v>-301302.52425000002</v>
      </c>
      <c r="N22" s="251">
        <f t="shared" si="1"/>
        <v>0</v>
      </c>
      <c r="O22" s="251">
        <f t="shared" si="1"/>
        <v>0</v>
      </c>
      <c r="P22" s="251">
        <f t="shared" si="1"/>
        <v>0</v>
      </c>
      <c r="Q22" s="251">
        <f t="shared" si="1"/>
        <v>0</v>
      </c>
      <c r="R22" s="251">
        <f t="shared" si="1"/>
        <v>0</v>
      </c>
      <c r="S22" s="251">
        <f t="shared" si="1"/>
        <v>0</v>
      </c>
      <c r="T22" s="251">
        <f>+T$6*$H22</f>
        <v>0</v>
      </c>
    </row>
    <row r="23" spans="1:24" ht="18" customHeight="1" x14ac:dyDescent="0.4">
      <c r="A23" s="113" t="s">
        <v>174</v>
      </c>
      <c r="B23" s="39">
        <v>0.17</v>
      </c>
      <c r="C23" s="127"/>
      <c r="F23" s="250" t="s">
        <v>174</v>
      </c>
      <c r="G23" s="251">
        <f>+G22</f>
        <v>483</v>
      </c>
      <c r="H23" s="251">
        <f>+C22*B23</f>
        <v>-106.04850750000001</v>
      </c>
      <c r="I23" s="252">
        <f t="shared" ref="I23" si="2">+G23*H23</f>
        <v>-51221.429122500005</v>
      </c>
      <c r="J23" s="253"/>
      <c r="K23" s="251">
        <f t="shared" si="1"/>
        <v>0</v>
      </c>
      <c r="L23" s="251">
        <f t="shared" si="1"/>
        <v>0</v>
      </c>
      <c r="M23" s="251">
        <f t="shared" si="1"/>
        <v>-51221.429122500005</v>
      </c>
      <c r="N23" s="251">
        <f t="shared" si="1"/>
        <v>0</v>
      </c>
      <c r="O23" s="251">
        <f t="shared" si="1"/>
        <v>0</v>
      </c>
      <c r="P23" s="251">
        <f t="shared" si="1"/>
        <v>0</v>
      </c>
      <c r="Q23" s="251">
        <f t="shared" si="1"/>
        <v>0</v>
      </c>
      <c r="R23" s="251">
        <f t="shared" si="1"/>
        <v>0</v>
      </c>
      <c r="S23" s="251">
        <f t="shared" si="1"/>
        <v>0</v>
      </c>
      <c r="T23" s="251">
        <f>+T$6*$I23</f>
        <v>0</v>
      </c>
    </row>
    <row r="24" spans="1:24" ht="18" customHeight="1" x14ac:dyDescent="0.4">
      <c r="A24" s="113" t="s">
        <v>208</v>
      </c>
      <c r="B24" s="62">
        <v>-12000</v>
      </c>
      <c r="C24" s="127"/>
      <c r="F24" s="250" t="s">
        <v>175</v>
      </c>
      <c r="G24" s="251"/>
      <c r="H24" s="251">
        <f>+K64</f>
        <v>10</v>
      </c>
      <c r="I24" s="252">
        <f>+B24*H24</f>
        <v>-120000</v>
      </c>
      <c r="J24" s="253"/>
      <c r="K24" s="251">
        <f t="shared" si="1"/>
        <v>0</v>
      </c>
      <c r="L24" s="251">
        <f t="shared" si="1"/>
        <v>0</v>
      </c>
      <c r="M24" s="251">
        <f t="shared" si="1"/>
        <v>-120000</v>
      </c>
      <c r="N24" s="251">
        <f t="shared" si="1"/>
        <v>0</v>
      </c>
      <c r="O24" s="251">
        <f t="shared" si="1"/>
        <v>0</v>
      </c>
      <c r="P24" s="251">
        <f t="shared" si="1"/>
        <v>0</v>
      </c>
      <c r="Q24" s="251">
        <f t="shared" si="1"/>
        <v>0</v>
      </c>
      <c r="R24" s="251">
        <f t="shared" si="1"/>
        <v>0</v>
      </c>
      <c r="S24" s="251">
        <f t="shared" si="1"/>
        <v>0</v>
      </c>
      <c r="T24" s="251">
        <f>+T$6*$I24</f>
        <v>0</v>
      </c>
    </row>
    <row r="25" spans="1:24" ht="18" customHeight="1" x14ac:dyDescent="0.4">
      <c r="A25" s="113" t="s">
        <v>274</v>
      </c>
      <c r="B25" s="235">
        <f>+ROUNDDOWN(_xlfn.IFS( FORM!C4 = "3 star Hotel", -C22 / Sizes!D3,FORM!C4 = "4 star Hotel", -C22 /Sizes!D4,FORM!C4 = "Luxury Hotel", -C22 / Sizes!D5,FORM!C4 = "TA", -C22 /Sizes!D6),0)</f>
        <v>10</v>
      </c>
      <c r="C25" s="127"/>
      <c r="F25" s="254"/>
      <c r="G25" s="255"/>
      <c r="H25" s="256"/>
      <c r="I25" s="257"/>
      <c r="J25" s="255"/>
      <c r="K25" s="257"/>
      <c r="L25" s="255"/>
      <c r="M25" s="255"/>
      <c r="N25" s="257"/>
      <c r="O25" s="257"/>
      <c r="P25" s="257"/>
      <c r="Q25" s="257"/>
      <c r="R25" s="257"/>
      <c r="S25" s="257"/>
      <c r="T25" s="257"/>
    </row>
    <row r="26" spans="1:24" ht="21.5" customHeight="1" x14ac:dyDescent="0.4">
      <c r="C26" s="127"/>
      <c r="F26" s="258" t="s">
        <v>140</v>
      </c>
      <c r="G26" s="259"/>
      <c r="H26" s="260"/>
      <c r="I26" s="261"/>
      <c r="J26" s="259"/>
      <c r="K26" s="262">
        <f t="shared" ref="K26:T26" si="3">+SUM(K15:K18)+SUM(K22:K24)</f>
        <v>-423250</v>
      </c>
      <c r="L26" s="262">
        <f t="shared" si="3"/>
        <v>0</v>
      </c>
      <c r="M26" s="262">
        <f t="shared" si="3"/>
        <v>-2597523.9533724999</v>
      </c>
      <c r="N26" s="262">
        <f t="shared" si="3"/>
        <v>0</v>
      </c>
      <c r="O26" s="262">
        <f t="shared" si="3"/>
        <v>0</v>
      </c>
      <c r="P26" s="262">
        <f t="shared" si="3"/>
        <v>0</v>
      </c>
      <c r="Q26" s="262">
        <f t="shared" si="3"/>
        <v>0</v>
      </c>
      <c r="R26" s="262">
        <f t="shared" si="3"/>
        <v>0</v>
      </c>
      <c r="S26" s="262">
        <f t="shared" si="3"/>
        <v>0</v>
      </c>
      <c r="T26" s="263">
        <f t="shared" si="3"/>
        <v>0</v>
      </c>
    </row>
    <row r="27" spans="1:24" s="156" customFormat="1" ht="18" customHeight="1" x14ac:dyDescent="0.5">
      <c r="A27" s="152"/>
      <c r="B27" s="152"/>
      <c r="C27" s="153"/>
      <c r="D27" s="152"/>
      <c r="E27" s="154"/>
      <c r="F27" s="155"/>
      <c r="H27" s="157"/>
      <c r="I27" s="157"/>
      <c r="K27" s="158"/>
      <c r="L27" s="159"/>
      <c r="M27" s="159"/>
      <c r="N27" s="159"/>
      <c r="O27" s="159"/>
      <c r="P27" s="159"/>
      <c r="Q27" s="159"/>
      <c r="R27" s="159"/>
      <c r="S27" s="159"/>
      <c r="T27" s="159"/>
      <c r="V27" s="189"/>
      <c r="W27" s="185"/>
    </row>
    <row r="28" spans="1:24" s="156" customFormat="1" ht="18" customHeight="1" x14ac:dyDescent="0.5">
      <c r="A28" s="152"/>
      <c r="B28" s="152"/>
      <c r="C28" s="153"/>
      <c r="D28" s="152"/>
      <c r="E28" s="154"/>
      <c r="F28" s="155"/>
      <c r="H28" s="157"/>
      <c r="I28" s="157"/>
      <c r="K28" s="158"/>
      <c r="L28" s="159"/>
      <c r="M28" s="159"/>
      <c r="N28" s="159"/>
      <c r="O28" s="159"/>
      <c r="P28" s="159"/>
      <c r="Q28" s="159"/>
      <c r="R28" s="159"/>
      <c r="S28" s="159"/>
      <c r="T28" s="159"/>
      <c r="V28" s="189"/>
      <c r="W28" s="185"/>
    </row>
    <row r="29" spans="1:24" ht="18" customHeight="1" x14ac:dyDescent="0.4">
      <c r="C29" s="127"/>
      <c r="F29" s="58"/>
      <c r="H29" s="66"/>
      <c r="I29" s="66"/>
      <c r="K29" s="57"/>
      <c r="L29" s="57"/>
      <c r="M29" s="57"/>
      <c r="N29" s="57"/>
      <c r="O29" s="57"/>
      <c r="P29" s="57"/>
      <c r="Q29" s="57"/>
      <c r="R29" s="57"/>
      <c r="S29" s="57"/>
      <c r="T29" s="57"/>
    </row>
    <row r="30" spans="1:24" ht="21.75" customHeight="1" x14ac:dyDescent="0.4">
      <c r="F30" s="258" t="s">
        <v>139</v>
      </c>
      <c r="G30" s="268"/>
      <c r="H30" s="269"/>
      <c r="I30" s="270"/>
      <c r="J30" s="268"/>
      <c r="K30" s="271">
        <v>2026</v>
      </c>
      <c r="L30" s="271">
        <v>2027</v>
      </c>
      <c r="M30" s="271">
        <v>2028</v>
      </c>
      <c r="N30" s="271">
        <v>2029</v>
      </c>
      <c r="O30" s="271">
        <v>2030</v>
      </c>
      <c r="P30" s="271">
        <v>2031</v>
      </c>
      <c r="Q30" s="271">
        <v>2032</v>
      </c>
      <c r="R30" s="271">
        <v>2033</v>
      </c>
      <c r="S30" s="271">
        <v>2034</v>
      </c>
      <c r="T30" s="272">
        <v>2035</v>
      </c>
      <c r="U30" s="131"/>
      <c r="W30" s="46"/>
      <c r="X30" s="125"/>
    </row>
    <row r="31" spans="1:24" customFormat="1" ht="12.5" x14ac:dyDescent="0.25">
      <c r="E31" s="70"/>
      <c r="V31" s="190"/>
      <c r="W31" s="162"/>
    </row>
    <row r="32" spans="1:24" customFormat="1" ht="13" x14ac:dyDescent="0.3">
      <c r="E32" s="70"/>
      <c r="H32" s="150" t="s">
        <v>138</v>
      </c>
      <c r="I32" s="149"/>
      <c r="J32" s="149"/>
      <c r="K32" s="149">
        <v>12</v>
      </c>
      <c r="L32" s="149">
        <v>12</v>
      </c>
      <c r="M32" s="149">
        <v>12</v>
      </c>
      <c r="N32" s="149">
        <v>12</v>
      </c>
      <c r="O32" s="149">
        <v>12</v>
      </c>
      <c r="P32" s="149">
        <v>12</v>
      </c>
      <c r="Q32" s="149">
        <v>12</v>
      </c>
      <c r="R32" s="149">
        <v>12</v>
      </c>
      <c r="S32" s="149">
        <v>12</v>
      </c>
      <c r="T32" s="149">
        <v>12</v>
      </c>
      <c r="V32" s="190"/>
      <c r="W32" s="162"/>
    </row>
    <row r="33" spans="1:23" customFormat="1" ht="13" x14ac:dyDescent="0.3">
      <c r="E33" s="70"/>
      <c r="H33" s="150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V33" s="190"/>
      <c r="W33" s="162"/>
    </row>
    <row r="34" spans="1:23" customFormat="1" ht="12.5" x14ac:dyDescent="0.25">
      <c r="B34" s="38" t="s">
        <v>224</v>
      </c>
      <c r="C34" s="146">
        <v>0.3</v>
      </c>
      <c r="E34" s="70"/>
      <c r="K34" s="148">
        <f>+K35*15</f>
        <v>0</v>
      </c>
      <c r="L34" s="148">
        <f t="shared" ref="L34:T34" si="4">+L35*15</f>
        <v>0</v>
      </c>
      <c r="M34" s="148">
        <f t="shared" si="4"/>
        <v>0</v>
      </c>
      <c r="N34" s="148">
        <f t="shared" si="4"/>
        <v>0</v>
      </c>
      <c r="O34" s="148">
        <f t="shared" si="4"/>
        <v>0</v>
      </c>
      <c r="P34" s="148">
        <f t="shared" si="4"/>
        <v>0</v>
      </c>
      <c r="Q34" s="148">
        <f t="shared" si="4"/>
        <v>0</v>
      </c>
      <c r="R34" s="148">
        <f t="shared" si="4"/>
        <v>0</v>
      </c>
      <c r="S34" s="148">
        <f t="shared" si="4"/>
        <v>0</v>
      </c>
      <c r="T34" s="148">
        <f t="shared" si="4"/>
        <v>0</v>
      </c>
      <c r="V34" s="190"/>
      <c r="W34" s="162"/>
    </row>
    <row r="35" spans="1:23" customFormat="1" ht="12.5" x14ac:dyDescent="0.25">
      <c r="B35" s="38" t="s">
        <v>223</v>
      </c>
      <c r="C35" s="39">
        <v>0.4</v>
      </c>
      <c r="E35" s="70"/>
      <c r="F35" s="162"/>
      <c r="G35" s="162"/>
      <c r="H35" s="275" t="s">
        <v>44</v>
      </c>
      <c r="I35" s="43"/>
      <c r="K35" s="42">
        <f>IF(FORM!$C$15="Lease",+IF(FORM!$C$4="Hostel",Projections!$C$34,Projections!$C$35)*(Projections!K72/Projections!K64/K32),0)</f>
        <v>0</v>
      </c>
      <c r="L35" s="42">
        <f>IF(FORM!$C$15="Lease",+IF(FORM!$C$4="Hostel",Projections!$C$34,Projections!$C$35)*(Projections!L72/Projections!L64/L32),0)</f>
        <v>0</v>
      </c>
      <c r="M35" s="42">
        <f>IF(FORM!$C$15="Lease",+IF(FORM!$C$4="Hostel",Projections!$C$34,Projections!$C$35)*(Projections!M72/Projections!M64/M32),0)</f>
        <v>0</v>
      </c>
      <c r="N35" s="42">
        <f>IF(FORM!$C$15="Lease",+IF(FORM!$C$4="Hostel",Projections!$C$34,Projections!$C$35)*(Projections!N72/Projections!N64/N32),0)</f>
        <v>0</v>
      </c>
      <c r="O35" s="42">
        <f>IF(FORM!$C$15="Lease",+IF(FORM!$C$4="Hostel",Projections!$C$34,Projections!$C$35)*(Projections!O72/Projections!O64/O32),0)</f>
        <v>0</v>
      </c>
      <c r="P35" s="42">
        <f>IF(FORM!$C$15="Lease",+IF(FORM!$C$4="Hostel",Projections!$C$34,Projections!$C$35)*(Projections!P72/Projections!P64/P32),0)</f>
        <v>0</v>
      </c>
      <c r="Q35" s="42">
        <f>IF(FORM!$C$15="Lease",+IF(FORM!$C$4="Hostel",Projections!$C$34,Projections!$C$35)*(Projections!Q72/Projections!Q64/Q32),0)</f>
        <v>0</v>
      </c>
      <c r="R35" s="42">
        <f>IF(FORM!$C$15="Lease",+IF(FORM!$C$4="Hostel",Projections!$C$34,Projections!$C$35)*(Projections!R72/Projections!R64/R32),0)</f>
        <v>0</v>
      </c>
      <c r="S35" s="42">
        <f>IF(FORM!$C$15="Lease",+IF(FORM!$C$4="Hostel",Projections!$C$34,Projections!$C$35)*(Projections!S72/Projections!S64/S32),0)</f>
        <v>0</v>
      </c>
      <c r="T35" s="42">
        <f>IF(FORM!$C$15="Lease",+IF(FORM!$C$4="Hostel",Projections!$C$34,Projections!$C$35)*(Projections!T72/Projections!T64/T32),0)</f>
        <v>0</v>
      </c>
      <c r="U35" s="200"/>
      <c r="V35" s="190"/>
      <c r="W35" s="162"/>
    </row>
    <row r="36" spans="1:23" customFormat="1" ht="12.5" x14ac:dyDescent="0.25">
      <c r="E36" s="70"/>
      <c r="F36" s="162"/>
      <c r="G36" s="162"/>
      <c r="H36" s="275" t="s">
        <v>45</v>
      </c>
      <c r="I36" s="43"/>
      <c r="K36" s="44" t="str">
        <f t="shared" ref="K36:T36" si="5">+IFERROR(K83/K72,"")</f>
        <v/>
      </c>
      <c r="L36" s="44" t="str">
        <f t="shared" si="5"/>
        <v/>
      </c>
      <c r="M36" s="44" t="str">
        <f t="shared" si="5"/>
        <v/>
      </c>
      <c r="N36" s="44">
        <f t="shared" si="5"/>
        <v>0</v>
      </c>
      <c r="O36" s="44">
        <f t="shared" si="5"/>
        <v>0</v>
      </c>
      <c r="P36" s="44" t="str">
        <f t="shared" si="5"/>
        <v/>
      </c>
      <c r="Q36" s="44" t="str">
        <f t="shared" si="5"/>
        <v/>
      </c>
      <c r="R36" s="44" t="str">
        <f t="shared" si="5"/>
        <v/>
      </c>
      <c r="S36" s="44" t="str">
        <f t="shared" si="5"/>
        <v/>
      </c>
      <c r="T36" s="44" t="str">
        <f t="shared" si="5"/>
        <v/>
      </c>
      <c r="V36" s="190"/>
      <c r="W36" s="162"/>
    </row>
    <row r="37" spans="1:23" customFormat="1" ht="12.5" x14ac:dyDescent="0.25">
      <c r="E37" s="70"/>
      <c r="F37" s="162"/>
      <c r="G37" s="162"/>
      <c r="H37" s="275"/>
      <c r="I37" s="43"/>
      <c r="K37" s="44"/>
      <c r="L37" s="44"/>
      <c r="M37" s="44"/>
      <c r="N37" s="44"/>
      <c r="O37" s="44"/>
      <c r="P37" s="44"/>
      <c r="Q37" s="44"/>
      <c r="R37" s="44"/>
      <c r="S37" s="44"/>
      <c r="T37" s="44"/>
      <c r="V37" s="190"/>
      <c r="W37" s="162"/>
    </row>
    <row r="38" spans="1:23" customFormat="1" ht="12.5" x14ac:dyDescent="0.25">
      <c r="E38" s="70"/>
      <c r="F38" s="162"/>
      <c r="G38" s="162"/>
      <c r="H38" s="275" t="s">
        <v>40</v>
      </c>
      <c r="I38" s="43"/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V38" s="190"/>
      <c r="W38" s="162"/>
    </row>
    <row r="39" spans="1:23" customFormat="1" ht="12.5" x14ac:dyDescent="0.25">
      <c r="E39" s="70"/>
      <c r="F39" s="162"/>
      <c r="G39" s="162"/>
      <c r="H39" s="275" t="s">
        <v>128</v>
      </c>
      <c r="I39" s="43"/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V39" s="190"/>
      <c r="W39" s="162"/>
    </row>
    <row r="40" spans="1:23" customFormat="1" ht="12.5" x14ac:dyDescent="0.25">
      <c r="B40" s="38" t="s">
        <v>42</v>
      </c>
      <c r="C40" s="146">
        <v>2.5000000000000001E-2</v>
      </c>
      <c r="E40" s="70"/>
      <c r="L40" s="41"/>
      <c r="V40" s="190"/>
      <c r="W40" s="162"/>
    </row>
    <row r="41" spans="1:23" customFormat="1" x14ac:dyDescent="0.4">
      <c r="B41" s="38" t="s">
        <v>43</v>
      </c>
      <c r="C41" s="39">
        <v>5.0000000000000001E-3</v>
      </c>
      <c r="E41" s="70"/>
      <c r="F41" s="46"/>
      <c r="G41" s="46"/>
      <c r="H41" s="46"/>
      <c r="I41" s="128"/>
      <c r="K41" s="44"/>
      <c r="V41" s="190"/>
      <c r="W41" s="162"/>
    </row>
    <row r="42" spans="1:23" customFormat="1" x14ac:dyDescent="0.4">
      <c r="E42" s="70"/>
      <c r="F42" s="46"/>
      <c r="G42" s="46"/>
      <c r="H42" s="46"/>
      <c r="I42" s="128"/>
      <c r="V42" s="190"/>
      <c r="W42" s="162"/>
    </row>
    <row r="43" spans="1:23" customFormat="1" ht="12.5" x14ac:dyDescent="0.25">
      <c r="E43" s="70"/>
      <c r="V43" s="190"/>
      <c r="W43" s="162"/>
    </row>
    <row r="44" spans="1:23" s="45" customFormat="1" x14ac:dyDescent="0.4">
      <c r="A44" s="37"/>
      <c r="B44" s="37"/>
      <c r="C44" s="37"/>
      <c r="D44" s="37"/>
      <c r="E44" s="71"/>
      <c r="V44" s="191"/>
      <c r="W44" s="186"/>
    </row>
    <row r="46" spans="1:23" ht="18.5" x14ac:dyDescent="0.4">
      <c r="F46" s="320" t="s">
        <v>302</v>
      </c>
      <c r="G46" s="321"/>
      <c r="H46" s="292"/>
      <c r="I46" s="292"/>
    </row>
    <row r="48" spans="1:23" x14ac:dyDescent="0.4">
      <c r="F48" s="46" t="s">
        <v>304</v>
      </c>
      <c r="G48" s="46" t="str">
        <f>+FORM!C4</f>
        <v>TA</v>
      </c>
    </row>
    <row r="49" spans="1:29" x14ac:dyDescent="0.4">
      <c r="F49" s="46" t="s">
        <v>303</v>
      </c>
      <c r="G49" s="290">
        <f>+C61</f>
        <v>2029</v>
      </c>
    </row>
    <row r="50" spans="1:29" x14ac:dyDescent="0.4">
      <c r="F50" s="46" t="s">
        <v>305</v>
      </c>
      <c r="G50" s="290" t="str">
        <f>+FORM!C15</f>
        <v>Management</v>
      </c>
    </row>
    <row r="51" spans="1:29" x14ac:dyDescent="0.4">
      <c r="F51" s="46" t="s">
        <v>306</v>
      </c>
      <c r="G51" s="291">
        <f>+B25</f>
        <v>10</v>
      </c>
    </row>
    <row r="57" spans="1:29" x14ac:dyDescent="0.4">
      <c r="I57" s="46" t="s">
        <v>301</v>
      </c>
      <c r="K57" s="276">
        <v>0</v>
      </c>
      <c r="L57" s="276">
        <v>0</v>
      </c>
      <c r="M57" s="276">
        <v>0</v>
      </c>
      <c r="N57" s="276">
        <v>0.8</v>
      </c>
      <c r="O57" s="276">
        <v>0.85378082191780824</v>
      </c>
      <c r="P57" s="276">
        <v>0.85378082191780824</v>
      </c>
      <c r="Q57" s="276">
        <v>0.85378082191780824</v>
      </c>
      <c r="R57" s="276">
        <v>0.85378082191780824</v>
      </c>
      <c r="S57" s="276">
        <v>0.85378082191780824</v>
      </c>
      <c r="T57" s="276">
        <v>0.85378082191780824</v>
      </c>
    </row>
    <row r="58" spans="1:29" x14ac:dyDescent="0.4">
      <c r="F58" s="138"/>
      <c r="K58" s="203"/>
      <c r="L58" s="203"/>
      <c r="M58" s="203"/>
      <c r="N58" s="203"/>
      <c r="O58" s="203"/>
      <c r="P58" s="203"/>
      <c r="Q58" s="203"/>
      <c r="R58" s="203"/>
      <c r="S58" s="203"/>
      <c r="T58" s="203"/>
    </row>
    <row r="60" spans="1:29" ht="21.5" customHeight="1" x14ac:dyDescent="0.4">
      <c r="B60" s="114" t="s">
        <v>166</v>
      </c>
      <c r="C60" s="181">
        <v>47119</v>
      </c>
      <c r="F60" s="258" t="s">
        <v>141</v>
      </c>
      <c r="G60" s="268"/>
      <c r="H60" s="269"/>
      <c r="I60" s="270"/>
      <c r="J60" s="268"/>
      <c r="K60" s="271">
        <v>2026</v>
      </c>
      <c r="L60" s="271">
        <v>2027</v>
      </c>
      <c r="M60" s="271">
        <v>2028</v>
      </c>
      <c r="N60" s="271">
        <v>2029</v>
      </c>
      <c r="O60" s="271">
        <v>2030</v>
      </c>
      <c r="P60" s="271">
        <v>2031</v>
      </c>
      <c r="Q60" s="271">
        <v>2032</v>
      </c>
      <c r="R60" s="271">
        <v>2033</v>
      </c>
      <c r="S60" s="271">
        <v>2034</v>
      </c>
      <c r="T60" s="272">
        <v>2035</v>
      </c>
      <c r="U60" s="131"/>
      <c r="W60" s="46"/>
      <c r="X60" s="125"/>
    </row>
    <row r="61" spans="1:29" x14ac:dyDescent="0.4">
      <c r="B61" s="114" t="s">
        <v>142</v>
      </c>
      <c r="C61" s="182">
        <f>+YEAR(C60)</f>
        <v>2029</v>
      </c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</row>
    <row r="62" spans="1:29" s="91" customFormat="1" ht="18.5" x14ac:dyDescent="0.5">
      <c r="A62" s="88"/>
      <c r="B62" s="88"/>
      <c r="C62" s="128"/>
      <c r="D62" s="89"/>
      <c r="E62" s="90"/>
      <c r="F62" s="283" t="s">
        <v>50</v>
      </c>
      <c r="G62" s="278"/>
      <c r="H62" s="92"/>
      <c r="I62" s="285"/>
      <c r="J62" s="278"/>
      <c r="K62" s="286">
        <f>+K57</f>
        <v>0</v>
      </c>
      <c r="L62" s="286">
        <f t="shared" ref="L62:T62" si="6">+L57</f>
        <v>0</v>
      </c>
      <c r="M62" s="286">
        <f t="shared" si="6"/>
        <v>0</v>
      </c>
      <c r="N62" s="286">
        <f t="shared" si="6"/>
        <v>0.8</v>
      </c>
      <c r="O62" s="286">
        <f t="shared" si="6"/>
        <v>0.85378082191780824</v>
      </c>
      <c r="P62" s="286">
        <f t="shared" si="6"/>
        <v>0.85378082191780824</v>
      </c>
      <c r="Q62" s="286">
        <f t="shared" si="6"/>
        <v>0.85378082191780824</v>
      </c>
      <c r="R62" s="286">
        <f t="shared" si="6"/>
        <v>0.85378082191780824</v>
      </c>
      <c r="S62" s="286">
        <f t="shared" si="6"/>
        <v>0.85378082191780824</v>
      </c>
      <c r="T62" s="286">
        <f t="shared" si="6"/>
        <v>0.85378082191780824</v>
      </c>
      <c r="V62" s="122"/>
      <c r="W62" s="201">
        <f>+AVERAGE(K57:T57)</f>
        <v>0.59226849315068486</v>
      </c>
      <c r="X62" s="91" t="s">
        <v>288</v>
      </c>
    </row>
    <row r="63" spans="1:29" ht="18" customHeight="1" x14ac:dyDescent="0.45">
      <c r="B63" s="46"/>
      <c r="C63" s="46"/>
      <c r="F63" s="250" t="s">
        <v>34</v>
      </c>
      <c r="G63" s="253"/>
      <c r="H63" s="307"/>
      <c r="I63" s="308"/>
      <c r="J63" s="253"/>
      <c r="K63" s="253">
        <f>+IF(K$60&lt;$C$61,0,IF(K60=$C$61,DATE($C$61,12,31)-$C$60+1,DATE(K60,12,31)-DATE(K60,1,1)+1))</f>
        <v>0</v>
      </c>
      <c r="L63" s="253">
        <f t="shared" ref="L63:T63" si="7">+IF(L$60&lt;$C$61,0,IF(L60=$C$61,DATE($C$61,12,31)-$C$60+1,DATE(L60,12,31)-DATE(L60,1,1)+1))</f>
        <v>0</v>
      </c>
      <c r="M63" s="253">
        <f t="shared" si="7"/>
        <v>0</v>
      </c>
      <c r="N63" s="253">
        <f t="shared" si="7"/>
        <v>365</v>
      </c>
      <c r="O63" s="253">
        <f t="shared" si="7"/>
        <v>365</v>
      </c>
      <c r="P63" s="253">
        <f t="shared" si="7"/>
        <v>365</v>
      </c>
      <c r="Q63" s="253">
        <f t="shared" si="7"/>
        <v>366</v>
      </c>
      <c r="R63" s="253">
        <f t="shared" si="7"/>
        <v>365</v>
      </c>
      <c r="S63" s="253">
        <f t="shared" si="7"/>
        <v>365</v>
      </c>
      <c r="T63" s="253">
        <f t="shared" si="7"/>
        <v>365</v>
      </c>
    </row>
    <row r="64" spans="1:29" ht="18" customHeight="1" x14ac:dyDescent="0.6">
      <c r="B64" s="125" t="s">
        <v>272</v>
      </c>
      <c r="C64" s="198"/>
      <c r="F64" s="250" t="s">
        <v>35</v>
      </c>
      <c r="G64" s="253"/>
      <c r="H64" s="307"/>
      <c r="I64" s="308"/>
      <c r="J64" s="253"/>
      <c r="K64" s="309">
        <f>+$B$25</f>
        <v>10</v>
      </c>
      <c r="L64" s="309">
        <f t="shared" ref="L64:T64" si="8">+$B$25</f>
        <v>10</v>
      </c>
      <c r="M64" s="309">
        <f t="shared" si="8"/>
        <v>10</v>
      </c>
      <c r="N64" s="309">
        <f t="shared" si="8"/>
        <v>10</v>
      </c>
      <c r="O64" s="309">
        <f t="shared" si="8"/>
        <v>10</v>
      </c>
      <c r="P64" s="309">
        <f t="shared" si="8"/>
        <v>10</v>
      </c>
      <c r="Q64" s="309">
        <f t="shared" si="8"/>
        <v>10</v>
      </c>
      <c r="R64" s="309">
        <f t="shared" si="8"/>
        <v>10</v>
      </c>
      <c r="S64" s="309">
        <f t="shared" si="8"/>
        <v>10</v>
      </c>
      <c r="T64" s="309">
        <f t="shared" si="8"/>
        <v>10</v>
      </c>
      <c r="AC64" s="50"/>
    </row>
    <row r="65" spans="1:23" s="91" customFormat="1" ht="18.5" x14ac:dyDescent="0.5">
      <c r="A65" s="88"/>
      <c r="B65" s="33" t="s">
        <v>167</v>
      </c>
      <c r="C65" s="199"/>
      <c r="D65" s="93"/>
      <c r="E65" s="90"/>
      <c r="F65" s="283" t="s">
        <v>36</v>
      </c>
      <c r="G65" s="278"/>
      <c r="H65" s="294" t="s">
        <v>35</v>
      </c>
      <c r="I65" s="277"/>
      <c r="J65" s="278"/>
      <c r="K65" s="288">
        <f t="shared" ref="K65:T65" si="9">+($H$66*K66+$H$69*K69+$H$68*K68+$H$67*K67)/SUM($H$66:$H$69)</f>
        <v>155</v>
      </c>
      <c r="L65" s="288">
        <f t="shared" si="9"/>
        <v>159.65</v>
      </c>
      <c r="M65" s="288">
        <f t="shared" si="9"/>
        <v>164.43950000000001</v>
      </c>
      <c r="N65" s="288">
        <f t="shared" si="9"/>
        <v>169.37268500000002</v>
      </c>
      <c r="O65" s="288">
        <f t="shared" si="9"/>
        <v>174.45386555000002</v>
      </c>
      <c r="P65" s="288">
        <f t="shared" si="9"/>
        <v>179.68748151650001</v>
      </c>
      <c r="Q65" s="288">
        <f t="shared" si="9"/>
        <v>185.07810596199502</v>
      </c>
      <c r="R65" s="288">
        <f t="shared" si="9"/>
        <v>190.63044914085486</v>
      </c>
      <c r="S65" s="288">
        <f t="shared" si="9"/>
        <v>196.34936261508051</v>
      </c>
      <c r="T65" s="288">
        <f t="shared" si="9"/>
        <v>202.23984349353293</v>
      </c>
      <c r="V65" s="122"/>
      <c r="W65" s="202">
        <f>+AVERAGE(K65:T65)</f>
        <v>177.69012932779634</v>
      </c>
    </row>
    <row r="66" spans="1:23" ht="18" customHeight="1" x14ac:dyDescent="0.4">
      <c r="B66" s="200" t="s">
        <v>268</v>
      </c>
      <c r="C66" s="236">
        <v>155</v>
      </c>
      <c r="F66" s="250" t="str">
        <f>+B66</f>
        <v>Room type 1</v>
      </c>
      <c r="G66" s="253"/>
      <c r="H66" s="295">
        <f>+K64</f>
        <v>10</v>
      </c>
      <c r="I66" s="296"/>
      <c r="J66" s="253"/>
      <c r="K66" s="297">
        <f>+C66</f>
        <v>155</v>
      </c>
      <c r="L66" s="297">
        <f t="shared" ref="L66:T66" si="10">+K66*(1+SUM($C$40:$C$41))</f>
        <v>159.65</v>
      </c>
      <c r="M66" s="297">
        <f t="shared" si="10"/>
        <v>164.43950000000001</v>
      </c>
      <c r="N66" s="297">
        <f t="shared" si="10"/>
        <v>169.37268500000002</v>
      </c>
      <c r="O66" s="297">
        <f t="shared" si="10"/>
        <v>174.45386555000002</v>
      </c>
      <c r="P66" s="297">
        <f t="shared" si="10"/>
        <v>179.68748151650001</v>
      </c>
      <c r="Q66" s="297">
        <f t="shared" si="10"/>
        <v>185.07810596199502</v>
      </c>
      <c r="R66" s="297">
        <f t="shared" si="10"/>
        <v>190.63044914085486</v>
      </c>
      <c r="S66" s="297">
        <f t="shared" si="10"/>
        <v>196.34936261508051</v>
      </c>
      <c r="T66" s="297">
        <f t="shared" si="10"/>
        <v>202.23984349353293</v>
      </c>
    </row>
    <row r="67" spans="1:23" ht="18" hidden="1" customHeight="1" outlineLevel="1" x14ac:dyDescent="0.4">
      <c r="B67" s="200" t="s">
        <v>269</v>
      </c>
      <c r="C67" s="237">
        <v>0</v>
      </c>
      <c r="F67" s="250" t="str">
        <f>+B67</f>
        <v>Room type 2</v>
      </c>
      <c r="G67" s="253"/>
      <c r="H67" s="298">
        <v>0</v>
      </c>
      <c r="I67" s="296"/>
      <c r="J67" s="253"/>
      <c r="K67" s="297">
        <f>+C67</f>
        <v>0</v>
      </c>
      <c r="L67" s="297">
        <f t="shared" ref="L67:T67" si="11">+K67*(1+SUM($C$40:$C$41))</f>
        <v>0</v>
      </c>
      <c r="M67" s="297">
        <f t="shared" si="11"/>
        <v>0</v>
      </c>
      <c r="N67" s="297">
        <f t="shared" si="11"/>
        <v>0</v>
      </c>
      <c r="O67" s="297">
        <f t="shared" si="11"/>
        <v>0</v>
      </c>
      <c r="P67" s="297">
        <f t="shared" si="11"/>
        <v>0</v>
      </c>
      <c r="Q67" s="297">
        <f t="shared" si="11"/>
        <v>0</v>
      </c>
      <c r="R67" s="297">
        <f t="shared" si="11"/>
        <v>0</v>
      </c>
      <c r="S67" s="297">
        <f t="shared" si="11"/>
        <v>0</v>
      </c>
      <c r="T67" s="297">
        <f t="shared" si="11"/>
        <v>0</v>
      </c>
    </row>
    <row r="68" spans="1:23" ht="18" hidden="1" customHeight="1" outlineLevel="1" x14ac:dyDescent="0.4">
      <c r="B68" s="200" t="s">
        <v>270</v>
      </c>
      <c r="C68" s="237">
        <v>0</v>
      </c>
      <c r="F68" s="250" t="str">
        <f>+B68</f>
        <v>Room type 3</v>
      </c>
      <c r="G68" s="253"/>
      <c r="H68" s="299">
        <v>0</v>
      </c>
      <c r="I68" s="296"/>
      <c r="J68" s="253"/>
      <c r="K68" s="297">
        <f>+C68</f>
        <v>0</v>
      </c>
      <c r="L68" s="297">
        <f t="shared" ref="L68:T68" si="12">+K68*(1+SUM($C$40:$C$41))</f>
        <v>0</v>
      </c>
      <c r="M68" s="297">
        <f t="shared" si="12"/>
        <v>0</v>
      </c>
      <c r="N68" s="297">
        <f t="shared" si="12"/>
        <v>0</v>
      </c>
      <c r="O68" s="297">
        <f t="shared" si="12"/>
        <v>0</v>
      </c>
      <c r="P68" s="297">
        <f t="shared" si="12"/>
        <v>0</v>
      </c>
      <c r="Q68" s="297">
        <f t="shared" si="12"/>
        <v>0</v>
      </c>
      <c r="R68" s="297">
        <f t="shared" si="12"/>
        <v>0</v>
      </c>
      <c r="S68" s="297">
        <f t="shared" si="12"/>
        <v>0</v>
      </c>
      <c r="T68" s="297">
        <f t="shared" si="12"/>
        <v>0</v>
      </c>
    </row>
    <row r="69" spans="1:23" ht="18" hidden="1" customHeight="1" outlineLevel="1" x14ac:dyDescent="0.4">
      <c r="B69" s="200" t="s">
        <v>271</v>
      </c>
      <c r="C69" s="237">
        <v>0</v>
      </c>
      <c r="F69" s="250" t="str">
        <f>+B69</f>
        <v>Room type 4</v>
      </c>
      <c r="G69" s="253"/>
      <c r="H69" s="299">
        <v>0</v>
      </c>
      <c r="I69" s="296"/>
      <c r="J69" s="253"/>
      <c r="K69" s="297">
        <f>+C69</f>
        <v>0</v>
      </c>
      <c r="L69" s="297">
        <f t="shared" ref="L69:T69" si="13">+K69*(1+SUM($C$40:$C$41))</f>
        <v>0</v>
      </c>
      <c r="M69" s="297">
        <f t="shared" si="13"/>
        <v>0</v>
      </c>
      <c r="N69" s="297">
        <f t="shared" si="13"/>
        <v>0</v>
      </c>
      <c r="O69" s="297">
        <f t="shared" si="13"/>
        <v>0</v>
      </c>
      <c r="P69" s="297">
        <f t="shared" si="13"/>
        <v>0</v>
      </c>
      <c r="Q69" s="297">
        <f t="shared" si="13"/>
        <v>0</v>
      </c>
      <c r="R69" s="297">
        <f t="shared" si="13"/>
        <v>0</v>
      </c>
      <c r="S69" s="297">
        <f t="shared" si="13"/>
        <v>0</v>
      </c>
      <c r="T69" s="297">
        <f t="shared" si="13"/>
        <v>0</v>
      </c>
    </row>
    <row r="70" spans="1:23" ht="16.5" collapsed="1" x14ac:dyDescent="0.45">
      <c r="B70" s="200"/>
      <c r="C70" s="200"/>
      <c r="F70" s="253"/>
      <c r="G70" s="253"/>
      <c r="H70" s="300"/>
      <c r="I70" s="301"/>
      <c r="J70" s="253"/>
      <c r="K70" s="296"/>
      <c r="L70" s="296"/>
      <c r="M70" s="296"/>
      <c r="N70" s="296"/>
      <c r="O70" s="296"/>
      <c r="P70" s="296"/>
      <c r="Q70" s="296"/>
      <c r="R70" s="296"/>
      <c r="S70" s="296"/>
      <c r="T70" s="296"/>
    </row>
    <row r="71" spans="1:23" s="91" customFormat="1" ht="21" customHeight="1" x14ac:dyDescent="0.4">
      <c r="A71" s="88"/>
      <c r="B71" s="88"/>
      <c r="C71" s="88"/>
      <c r="D71" s="88"/>
      <c r="E71" s="90"/>
      <c r="F71" s="302" t="s">
        <v>37</v>
      </c>
      <c r="G71" s="303"/>
      <c r="H71" s="304"/>
      <c r="I71" s="303"/>
      <c r="J71" s="303"/>
      <c r="K71" s="305">
        <f t="shared" ref="K71:T71" si="14">+SUM(K72:K75)</f>
        <v>0</v>
      </c>
      <c r="L71" s="305">
        <f t="shared" si="14"/>
        <v>0</v>
      </c>
      <c r="M71" s="305">
        <f t="shared" si="14"/>
        <v>0</v>
      </c>
      <c r="N71" s="305">
        <f t="shared" si="14"/>
        <v>519296.65221000009</v>
      </c>
      <c r="O71" s="305">
        <f t="shared" si="14"/>
        <v>570833.11027413828</v>
      </c>
      <c r="P71" s="305">
        <f t="shared" si="14"/>
        <v>0</v>
      </c>
      <c r="Q71" s="305">
        <f t="shared" si="14"/>
        <v>0</v>
      </c>
      <c r="R71" s="305">
        <f t="shared" si="14"/>
        <v>0</v>
      </c>
      <c r="S71" s="305">
        <f t="shared" si="14"/>
        <v>0</v>
      </c>
      <c r="T71" s="306">
        <f t="shared" si="14"/>
        <v>0</v>
      </c>
      <c r="V71" s="122"/>
      <c r="W71" s="187">
        <f>+SUM(K71:T71)</f>
        <v>1090129.7624841384</v>
      </c>
    </row>
    <row r="72" spans="1:23" ht="18" customHeight="1" x14ac:dyDescent="0.4">
      <c r="F72" s="248" t="s">
        <v>99</v>
      </c>
      <c r="G72" s="249"/>
      <c r="H72" s="241"/>
      <c r="I72" s="293"/>
      <c r="J72" s="249"/>
      <c r="K72" s="287">
        <f t="shared" ref="K72:T72" si="15">IF(K60&lt;=$C$192,+K57*K63*K64*K65,0)</f>
        <v>0</v>
      </c>
      <c r="L72" s="287">
        <f t="shared" si="15"/>
        <v>0</v>
      </c>
      <c r="M72" s="287">
        <f t="shared" si="15"/>
        <v>0</v>
      </c>
      <c r="N72" s="287">
        <f t="shared" si="15"/>
        <v>494568.24020000006</v>
      </c>
      <c r="O72" s="287">
        <f t="shared" si="15"/>
        <v>543650.58121346508</v>
      </c>
      <c r="P72" s="287">
        <f t="shared" si="15"/>
        <v>0</v>
      </c>
      <c r="Q72" s="287">
        <f t="shared" si="15"/>
        <v>0</v>
      </c>
      <c r="R72" s="287">
        <f t="shared" si="15"/>
        <v>0</v>
      </c>
      <c r="S72" s="287">
        <f t="shared" si="15"/>
        <v>0</v>
      </c>
      <c r="T72" s="287">
        <f t="shared" si="15"/>
        <v>0</v>
      </c>
    </row>
    <row r="73" spans="1:23" ht="18" customHeight="1" x14ac:dyDescent="0.4">
      <c r="B73" s="33" t="s">
        <v>275</v>
      </c>
      <c r="C73" s="76">
        <f>IF(H38&gt;0,_xlfn.SWITCH(FORM!$C$4,"Hostels", Projections!$C$74,"TA", Projections!$C$75,"3 star Hotel",Projections!$C$77,"4 star Hotel", Projections!$C$76,"Luxury Hotel", Projections!$C$78, 0 ), 0)</f>
        <v>0.05</v>
      </c>
      <c r="F73" s="248" t="s">
        <v>137</v>
      </c>
      <c r="G73" s="249"/>
      <c r="I73" s="293"/>
      <c r="J73" s="249"/>
      <c r="K73" s="287">
        <f t="shared" ref="K73:T73" si="16">IF(K60&lt;=$C$192,+K72*$C$73,0)</f>
        <v>0</v>
      </c>
      <c r="L73" s="287">
        <f t="shared" si="16"/>
        <v>0</v>
      </c>
      <c r="M73" s="287">
        <f t="shared" si="16"/>
        <v>0</v>
      </c>
      <c r="N73" s="287">
        <f t="shared" si="16"/>
        <v>24728.412010000004</v>
      </c>
      <c r="O73" s="287">
        <f t="shared" si="16"/>
        <v>27182.529060673256</v>
      </c>
      <c r="P73" s="287">
        <f t="shared" si="16"/>
        <v>0</v>
      </c>
      <c r="Q73" s="287">
        <f t="shared" si="16"/>
        <v>0</v>
      </c>
      <c r="R73" s="287">
        <f t="shared" si="16"/>
        <v>0</v>
      </c>
      <c r="S73" s="287">
        <f t="shared" si="16"/>
        <v>0</v>
      </c>
      <c r="T73" s="287">
        <f t="shared" si="16"/>
        <v>0</v>
      </c>
    </row>
    <row r="74" spans="1:23" ht="18" customHeight="1" x14ac:dyDescent="0.4">
      <c r="B74" t="s">
        <v>222</v>
      </c>
      <c r="C74" s="39">
        <v>0.05</v>
      </c>
      <c r="F74" s="248" t="s">
        <v>102</v>
      </c>
      <c r="G74" s="249"/>
      <c r="I74" s="293"/>
      <c r="J74" s="249"/>
      <c r="K74" s="287">
        <f>+$C79*12*K$64*(K$63/(DATE(K$60,12,31)-DATE(K$60,1,1)+1))*((1+$C$40)^J$184)</f>
        <v>0</v>
      </c>
      <c r="L74" s="287">
        <f t="shared" ref="L74:T74" si="17">+$C79*12*L65*(L$63/(DATE(L61,12,31)-DATE(L$60,1,1)+1))*((1+$C$40)^K$184)</f>
        <v>0</v>
      </c>
      <c r="M74" s="287">
        <f t="shared" si="17"/>
        <v>0</v>
      </c>
      <c r="N74" s="287">
        <f t="shared" si="17"/>
        <v>0</v>
      </c>
      <c r="O74" s="287">
        <f t="shared" si="17"/>
        <v>0</v>
      </c>
      <c r="P74" s="287">
        <f t="shared" si="17"/>
        <v>0</v>
      </c>
      <c r="Q74" s="287">
        <f t="shared" si="17"/>
        <v>0</v>
      </c>
      <c r="R74" s="287">
        <f t="shared" si="17"/>
        <v>0</v>
      </c>
      <c r="S74" s="287">
        <f t="shared" si="17"/>
        <v>0</v>
      </c>
      <c r="T74" s="287">
        <f t="shared" si="17"/>
        <v>0</v>
      </c>
    </row>
    <row r="75" spans="1:23" ht="18" customHeight="1" x14ac:dyDescent="0.4">
      <c r="B75" t="s">
        <v>223</v>
      </c>
      <c r="C75" s="39">
        <v>0.05</v>
      </c>
      <c r="F75" s="248" t="s">
        <v>121</v>
      </c>
      <c r="G75" s="249"/>
      <c r="I75" s="293"/>
      <c r="J75" s="249"/>
      <c r="K75" s="287">
        <f>+$C80*12*K$64*(K$63/(DATE(K$60,12,31)-DATE(K$60,1,1)+1))*((1+$C$40)^J$184)</f>
        <v>0</v>
      </c>
      <c r="L75" s="287">
        <f t="shared" ref="L75:T75" si="18">+$C80*12*L66*(L$63/(DATE(L57,12,31)-DATE(L$60,1,1)+1))*((1+$C$40)^K$184)</f>
        <v>0</v>
      </c>
      <c r="M75" s="287">
        <f t="shared" si="18"/>
        <v>0</v>
      </c>
      <c r="N75" s="287">
        <f t="shared" si="18"/>
        <v>0</v>
      </c>
      <c r="O75" s="287">
        <f t="shared" si="18"/>
        <v>0</v>
      </c>
      <c r="P75" s="287">
        <f t="shared" si="18"/>
        <v>0</v>
      </c>
      <c r="Q75" s="287">
        <f t="shared" si="18"/>
        <v>0</v>
      </c>
      <c r="R75" s="287">
        <f t="shared" si="18"/>
        <v>0</v>
      </c>
      <c r="S75" s="287">
        <f t="shared" si="18"/>
        <v>0</v>
      </c>
      <c r="T75" s="287">
        <f t="shared" si="18"/>
        <v>0</v>
      </c>
    </row>
    <row r="76" spans="1:23" x14ac:dyDescent="0.4">
      <c r="B76" t="s">
        <v>266</v>
      </c>
      <c r="C76" s="39">
        <v>0.25</v>
      </c>
    </row>
    <row r="77" spans="1:23" ht="21.5" customHeight="1" outlineLevel="1" x14ac:dyDescent="0.4">
      <c r="B77" t="s">
        <v>265</v>
      </c>
      <c r="C77" s="39">
        <v>0.15</v>
      </c>
    </row>
    <row r="78" spans="1:23" outlineLevel="1" x14ac:dyDescent="0.4">
      <c r="B78" s="216" t="s">
        <v>243</v>
      </c>
      <c r="C78" s="39">
        <v>0.2</v>
      </c>
    </row>
    <row r="79" spans="1:23" s="91" customFormat="1" outlineLevel="2" collapsed="1" x14ac:dyDescent="0.4">
      <c r="A79" s="88"/>
      <c r="B79" s="33" t="s">
        <v>308</v>
      </c>
      <c r="C79" s="76">
        <v>0</v>
      </c>
      <c r="D79" s="88"/>
      <c r="E79" s="90"/>
      <c r="V79" s="122"/>
      <c r="W79" s="202">
        <f>+SUM(K82:T82)</f>
        <v>0</v>
      </c>
    </row>
    <row r="80" spans="1:23" ht="18" customHeight="1" outlineLevel="2" x14ac:dyDescent="0.4">
      <c r="B80" s="33" t="s">
        <v>307</v>
      </c>
      <c r="C80" s="76">
        <v>0</v>
      </c>
      <c r="G80" s="278"/>
      <c r="H80" s="66" t="str">
        <f>IFERROR(+K26/(K83/12),"")</f>
        <v/>
      </c>
      <c r="I80" s="278"/>
      <c r="J80" s="278"/>
      <c r="K80" s="281" t="str">
        <f>IFERROR(-(K35*K64)*H80,"")</f>
        <v/>
      </c>
      <c r="L80" s="281"/>
      <c r="M80" s="281"/>
      <c r="N80" s="281"/>
      <c r="O80" s="281"/>
      <c r="P80" s="281"/>
      <c r="Q80" s="281"/>
      <c r="R80" s="281"/>
      <c r="S80" s="281"/>
      <c r="T80" s="281"/>
    </row>
    <row r="81" spans="1:24" ht="18" customHeight="1" outlineLevel="2" x14ac:dyDescent="0.4">
      <c r="F81" s="284" t="s">
        <v>114</v>
      </c>
      <c r="G81" s="249"/>
      <c r="I81" s="249"/>
      <c r="J81" s="249"/>
      <c r="K81" s="280"/>
      <c r="L81" s="280"/>
      <c r="M81" s="280"/>
      <c r="N81" s="280"/>
      <c r="O81" s="280"/>
      <c r="P81" s="280"/>
      <c r="Q81" s="280"/>
      <c r="R81" s="280"/>
      <c r="S81" s="280"/>
      <c r="T81" s="280"/>
    </row>
    <row r="82" spans="1:24" ht="18.5" x14ac:dyDescent="0.5">
      <c r="F82" s="283" t="s">
        <v>139</v>
      </c>
      <c r="G82" s="278"/>
      <c r="H82" s="91"/>
      <c r="I82" s="278"/>
      <c r="J82" s="278"/>
      <c r="K82" s="279">
        <f>+K83</f>
        <v>0</v>
      </c>
      <c r="L82" s="279">
        <f t="shared" ref="L82:T82" si="19">+IF(L80&lt;0,MIN(L83:L84),MAX(L83:L84))</f>
        <v>0</v>
      </c>
      <c r="M82" s="279">
        <f t="shared" si="19"/>
        <v>0</v>
      </c>
      <c r="N82" s="279">
        <f t="shared" si="19"/>
        <v>0</v>
      </c>
      <c r="O82" s="279">
        <f t="shared" si="19"/>
        <v>0</v>
      </c>
      <c r="P82" s="279">
        <f t="shared" si="19"/>
        <v>0</v>
      </c>
      <c r="Q82" s="279">
        <f t="shared" si="19"/>
        <v>0</v>
      </c>
      <c r="R82" s="279">
        <f t="shared" si="19"/>
        <v>0</v>
      </c>
      <c r="S82" s="279">
        <f t="shared" si="19"/>
        <v>0</v>
      </c>
      <c r="T82" s="279">
        <f t="shared" si="19"/>
        <v>0</v>
      </c>
    </row>
    <row r="83" spans="1:24" x14ac:dyDescent="0.4">
      <c r="B83" s="33" t="s">
        <v>276</v>
      </c>
      <c r="F83" s="248" t="s">
        <v>46</v>
      </c>
      <c r="G83" s="249"/>
      <c r="I83" s="249"/>
      <c r="J83" s="249"/>
      <c r="K83" s="280">
        <f t="shared" ref="K83:T83" si="20">+K35*K64*K32</f>
        <v>0</v>
      </c>
      <c r="L83" s="280">
        <f t="shared" si="20"/>
        <v>0</v>
      </c>
      <c r="M83" s="280">
        <f t="shared" si="20"/>
        <v>0</v>
      </c>
      <c r="N83" s="280">
        <f t="shared" si="20"/>
        <v>0</v>
      </c>
      <c r="O83" s="280">
        <f t="shared" si="20"/>
        <v>0</v>
      </c>
      <c r="P83" s="280">
        <f t="shared" si="20"/>
        <v>0</v>
      </c>
      <c r="Q83" s="280">
        <f t="shared" si="20"/>
        <v>0</v>
      </c>
      <c r="R83" s="280">
        <f t="shared" si="20"/>
        <v>0</v>
      </c>
      <c r="S83" s="280">
        <f t="shared" si="20"/>
        <v>0</v>
      </c>
      <c r="T83" s="280">
        <f t="shared" si="20"/>
        <v>0</v>
      </c>
      <c r="U83" s="161"/>
    </row>
    <row r="84" spans="1:24" s="91" customFormat="1" x14ac:dyDescent="0.4">
      <c r="A84" s="88"/>
      <c r="B84" t="s">
        <v>222</v>
      </c>
      <c r="C84" s="39">
        <v>0.52</v>
      </c>
      <c r="D84" s="88"/>
      <c r="E84" s="96"/>
      <c r="F84" s="248" t="s">
        <v>40</v>
      </c>
      <c r="G84" s="249"/>
      <c r="H84" s="46"/>
      <c r="I84" s="282"/>
      <c r="J84" s="249"/>
      <c r="K84" s="280">
        <f t="shared" ref="K84:T84" si="21">+(K38*(K72+K74+K75))+(K73*$K$39)</f>
        <v>0</v>
      </c>
      <c r="L84" s="280">
        <f t="shared" si="21"/>
        <v>0</v>
      </c>
      <c r="M84" s="280">
        <f t="shared" si="21"/>
        <v>0</v>
      </c>
      <c r="N84" s="280">
        <f t="shared" si="21"/>
        <v>0</v>
      </c>
      <c r="O84" s="280">
        <f t="shared" si="21"/>
        <v>0</v>
      </c>
      <c r="P84" s="280">
        <f t="shared" si="21"/>
        <v>0</v>
      </c>
      <c r="Q84" s="280">
        <f t="shared" si="21"/>
        <v>0</v>
      </c>
      <c r="R84" s="280">
        <f t="shared" si="21"/>
        <v>0</v>
      </c>
      <c r="S84" s="280">
        <f t="shared" si="21"/>
        <v>0</v>
      </c>
      <c r="T84" s="280">
        <f t="shared" si="21"/>
        <v>0</v>
      </c>
      <c r="V84" s="122"/>
      <c r="W84" s="187">
        <f>+SUM(K86:T86)</f>
        <v>523262.2859923864</v>
      </c>
      <c r="X84" s="97"/>
    </row>
    <row r="85" spans="1:24" x14ac:dyDescent="0.4">
      <c r="B85" t="s">
        <v>223</v>
      </c>
      <c r="C85" s="39">
        <v>0.48</v>
      </c>
      <c r="F85" s="249"/>
      <c r="K85" s="161"/>
      <c r="L85" s="52"/>
      <c r="M85" s="52"/>
      <c r="N85" s="52"/>
      <c r="O85" s="52"/>
      <c r="P85" s="52"/>
      <c r="Q85" s="52"/>
      <c r="R85" s="52"/>
      <c r="S85" s="52"/>
      <c r="T85" s="52"/>
    </row>
    <row r="86" spans="1:24" ht="21.5" customHeight="1" x14ac:dyDescent="0.4">
      <c r="B86" t="s">
        <v>266</v>
      </c>
      <c r="C86" s="39">
        <v>0.5</v>
      </c>
      <c r="F86" s="302" t="s">
        <v>38</v>
      </c>
      <c r="G86" s="303"/>
      <c r="H86" s="304"/>
      <c r="I86" s="303"/>
      <c r="J86" s="303"/>
      <c r="K86" s="305">
        <f t="shared" ref="K86:T86" si="22">+K87*K71</f>
        <v>0</v>
      </c>
      <c r="L86" s="305">
        <f t="shared" si="22"/>
        <v>0</v>
      </c>
      <c r="M86" s="305">
        <f t="shared" si="22"/>
        <v>0</v>
      </c>
      <c r="N86" s="305">
        <f t="shared" si="22"/>
        <v>249262.39306080004</v>
      </c>
      <c r="O86" s="305">
        <f t="shared" si="22"/>
        <v>273999.89293158636</v>
      </c>
      <c r="P86" s="305">
        <f t="shared" si="22"/>
        <v>0</v>
      </c>
      <c r="Q86" s="305">
        <f t="shared" si="22"/>
        <v>0</v>
      </c>
      <c r="R86" s="305">
        <f t="shared" si="22"/>
        <v>0</v>
      </c>
      <c r="S86" s="305">
        <f t="shared" si="22"/>
        <v>0</v>
      </c>
      <c r="T86" s="306">
        <f t="shared" si="22"/>
        <v>0</v>
      </c>
    </row>
    <row r="87" spans="1:24" s="91" customFormat="1" x14ac:dyDescent="0.4">
      <c r="A87" s="88"/>
      <c r="B87" t="s">
        <v>265</v>
      </c>
      <c r="C87" s="39">
        <v>0.55000000000000004</v>
      </c>
      <c r="D87" s="88"/>
      <c r="E87" s="90"/>
      <c r="F87" s="248"/>
      <c r="G87" s="46"/>
      <c r="H87" s="46"/>
      <c r="I87" s="46"/>
      <c r="J87" s="46"/>
      <c r="K87" s="276">
        <f>IF(K63&gt;0,_xlfn.SWITCH(FORM!$C$4,"Hostels", Projections!$C$84,"TA", Projections!$C$85,"3 star Hotel",Projections!$C$87,"4 star Hotel", Projections!$C$86,"Luxury Hotel", Projections!$C$88, 0 ), 0)</f>
        <v>0</v>
      </c>
      <c r="L87" s="276">
        <f>IF(L63&gt;0,_xlfn.SWITCH(FORM!$C$4,"Hostels", Projections!$C$84,"TA", Projections!$C$85,"3 star Hotel",Projections!$C$87,"4 star Hotel", Projections!$C$86,"Luxury Hotel", Projections!$C$88, 0 ), 0)</f>
        <v>0</v>
      </c>
      <c r="M87" s="276">
        <f>IF(M63&gt;0,_xlfn.SWITCH(FORM!$C$4,"Hostels", Projections!$C$84,"TA", Projections!$C$85,"3 star Hotel",Projections!$C$87,"4 star Hotel", Projections!$C$86,"Luxury Hotel", Projections!$C$88, 0 ), 0)</f>
        <v>0</v>
      </c>
      <c r="N87" s="276">
        <f>IF(N63&gt;0,_xlfn.SWITCH(FORM!$C$4,"Hostels", Projections!$C$84,"TA", Projections!$C$85,"3 star Hotel",Projections!$C$87,"4 star Hotel", Projections!$C$86,"Luxury Hotel", Projections!$C$88, 0 ), 0)</f>
        <v>0.48</v>
      </c>
      <c r="O87" s="276">
        <f>IF(O63&gt;0,_xlfn.SWITCH(FORM!$C$4,"Hostels", Projections!$C$84,"TA", Projections!$C$85,"3 star Hotel",Projections!$C$87,"4 star Hotel", Projections!$C$86,"Luxury Hotel", Projections!$C$88, 0 ), 0)</f>
        <v>0.48</v>
      </c>
      <c r="P87" s="276">
        <f>IF(P63&gt;0,_xlfn.SWITCH(FORM!$C$4,"Hostels", Projections!$C$84,"TA", Projections!$C$85,"3 star Hotel",Projections!$C$87,"4 star Hotel", Projections!$C$86,"Luxury Hotel", Projections!$C$88, 0 ), 0)</f>
        <v>0.48</v>
      </c>
      <c r="Q87" s="276">
        <f>IF(Q63&gt;0,_xlfn.SWITCH(FORM!$C$4,"Hostels", Projections!$C$84,"TA", Projections!$C$85,"3 star Hotel",Projections!$C$87,"4 star Hotel", Projections!$C$86,"Luxury Hotel", Projections!$C$88, 0 ), 0)</f>
        <v>0.48</v>
      </c>
      <c r="R87" s="276">
        <f>IF(R63&gt;0,_xlfn.SWITCH(FORM!$C$4,"Hostels", Projections!$C$84,"TA", Projections!$C$85,"3 star Hotel",Projections!$C$87,"4 star Hotel", Projections!$C$86,"Luxury Hotel", Projections!$C$88, 0 ), 0)</f>
        <v>0.48</v>
      </c>
      <c r="S87" s="276">
        <f>IF(S63&gt;0,_xlfn.SWITCH(FORM!$C$4,"Hostels", Projections!$C$84,"TA", Projections!$C$85,"3 star Hotel",Projections!$C$87,"4 star Hotel", Projections!$C$86,"Luxury Hotel", Projections!$C$88, 0 ), 0)</f>
        <v>0.48</v>
      </c>
      <c r="T87" s="276">
        <f>IF(T63&gt;0,_xlfn.SWITCH(FORM!$C$4,"Hostels", Projections!$C$84,"TA", Projections!$C$85,"3 star Hotel",Projections!$C$87,"4 star Hotel", Projections!$C$86,"Luxury Hotel", Projections!$C$88, 0 ), 0)</f>
        <v>0.48</v>
      </c>
      <c r="V87" s="122"/>
      <c r="W87" s="187">
        <f>+SUM(K89:T89)</f>
        <v>566867.47649175196</v>
      </c>
      <c r="X87" s="97"/>
    </row>
    <row r="88" spans="1:24" x14ac:dyDescent="0.4">
      <c r="B88" s="216" t="s">
        <v>243</v>
      </c>
      <c r="C88" s="39">
        <v>0.65</v>
      </c>
      <c r="F88" s="248"/>
      <c r="K88" s="151"/>
      <c r="L88" s="151"/>
      <c r="M88" s="151"/>
      <c r="N88" s="151"/>
      <c r="O88" s="151"/>
      <c r="P88" s="151"/>
      <c r="Q88" s="151"/>
      <c r="R88" s="151"/>
      <c r="S88" s="151"/>
      <c r="T88" s="151"/>
    </row>
    <row r="89" spans="1:24" ht="21.5" customHeight="1" x14ac:dyDescent="0.4">
      <c r="B89" s="114"/>
      <c r="C89" s="128"/>
      <c r="F89" s="302" t="s">
        <v>169</v>
      </c>
      <c r="G89" s="303"/>
      <c r="H89" s="304"/>
      <c r="I89" s="303"/>
      <c r="J89" s="303"/>
      <c r="K89" s="305">
        <f t="shared" ref="K89:T89" si="23">+K71-K82-K86</f>
        <v>0</v>
      </c>
      <c r="L89" s="305">
        <f t="shared" si="23"/>
        <v>0</v>
      </c>
      <c r="M89" s="305">
        <f t="shared" si="23"/>
        <v>0</v>
      </c>
      <c r="N89" s="305">
        <f t="shared" si="23"/>
        <v>270034.25914920005</v>
      </c>
      <c r="O89" s="305">
        <f t="shared" si="23"/>
        <v>296833.21734255191</v>
      </c>
      <c r="P89" s="305">
        <f t="shared" si="23"/>
        <v>0</v>
      </c>
      <c r="Q89" s="305">
        <f t="shared" si="23"/>
        <v>0</v>
      </c>
      <c r="R89" s="305">
        <f t="shared" si="23"/>
        <v>0</v>
      </c>
      <c r="S89" s="305">
        <f t="shared" si="23"/>
        <v>0</v>
      </c>
      <c r="T89" s="306">
        <f t="shared" si="23"/>
        <v>0</v>
      </c>
    </row>
    <row r="90" spans="1:24" s="91" customFormat="1" x14ac:dyDescent="0.4">
      <c r="A90" s="88"/>
      <c r="B90" s="114" t="s">
        <v>277</v>
      </c>
      <c r="C90" s="114" t="s">
        <v>223</v>
      </c>
      <c r="D90" s="88"/>
      <c r="E90" s="90"/>
      <c r="F90" s="250"/>
      <c r="G90" s="255"/>
      <c r="H90" s="255"/>
      <c r="I90" s="255"/>
      <c r="J90" s="255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V90" s="122"/>
      <c r="W90" s="202">
        <f>+SUM(K92:T92)</f>
        <v>148257.64769784283</v>
      </c>
    </row>
    <row r="91" spans="1:24" ht="18" customHeight="1" x14ac:dyDescent="0.4">
      <c r="A91" s="113" t="s">
        <v>235</v>
      </c>
      <c r="B91" s="146">
        <v>0.03</v>
      </c>
      <c r="C91" s="146">
        <v>0.04</v>
      </c>
      <c r="F91" s="250"/>
      <c r="G91" s="255"/>
      <c r="H91" s="255"/>
      <c r="I91" s="255"/>
      <c r="J91" s="255"/>
      <c r="K91" s="329"/>
      <c r="L91" s="329"/>
      <c r="M91" s="329"/>
      <c r="N91" s="329"/>
      <c r="O91" s="329"/>
      <c r="P91" s="329"/>
      <c r="Q91" s="329"/>
      <c r="R91" s="329"/>
      <c r="S91" s="329"/>
      <c r="T91" s="329"/>
    </row>
    <row r="92" spans="1:24" ht="18" customHeight="1" x14ac:dyDescent="0.5">
      <c r="A92" s="113" t="s">
        <v>236</v>
      </c>
      <c r="B92" s="39">
        <v>0.1</v>
      </c>
      <c r="C92" s="39">
        <v>0.2</v>
      </c>
      <c r="F92" s="283" t="s">
        <v>168</v>
      </c>
      <c r="G92" s="91"/>
      <c r="H92" s="91"/>
      <c r="I92" s="91"/>
      <c r="J92" s="91"/>
      <c r="K92" s="288">
        <f t="shared" ref="K92:T92" si="24">+SUM(K93:K94)</f>
        <v>0</v>
      </c>
      <c r="L92" s="288">
        <f t="shared" si="24"/>
        <v>0</v>
      </c>
      <c r="M92" s="288">
        <f t="shared" si="24"/>
        <v>0</v>
      </c>
      <c r="N92" s="288">
        <f t="shared" si="24"/>
        <v>70624.344700560017</v>
      </c>
      <c r="O92" s="288">
        <f t="shared" si="24"/>
        <v>77633.302997282808</v>
      </c>
      <c r="P92" s="288">
        <f t="shared" si="24"/>
        <v>0</v>
      </c>
      <c r="Q92" s="288">
        <f t="shared" si="24"/>
        <v>0</v>
      </c>
      <c r="R92" s="288">
        <f t="shared" si="24"/>
        <v>0</v>
      </c>
      <c r="S92" s="288">
        <f t="shared" si="24"/>
        <v>0</v>
      </c>
      <c r="T92" s="288">
        <f t="shared" si="24"/>
        <v>0</v>
      </c>
    </row>
    <row r="93" spans="1:24" x14ac:dyDescent="0.4">
      <c r="B93" s="114"/>
      <c r="C93" s="128"/>
      <c r="F93" s="289" t="s">
        <v>278</v>
      </c>
      <c r="H93" s="310">
        <f>+IF(FORM!$C$15="Management",IF(FORM!$C$4="TA",Projections!C91,Projections!B91),0)</f>
        <v>0.04</v>
      </c>
      <c r="K93" s="287">
        <f t="shared" ref="K93:T93" si="25">+$H$93*K71</f>
        <v>0</v>
      </c>
      <c r="L93" s="287">
        <f t="shared" si="25"/>
        <v>0</v>
      </c>
      <c r="M93" s="287">
        <f t="shared" si="25"/>
        <v>0</v>
      </c>
      <c r="N93" s="287">
        <f t="shared" si="25"/>
        <v>20771.866088400006</v>
      </c>
      <c r="O93" s="287">
        <f t="shared" si="25"/>
        <v>22833.324410965532</v>
      </c>
      <c r="P93" s="287">
        <f t="shared" si="25"/>
        <v>0</v>
      </c>
      <c r="Q93" s="287">
        <f t="shared" si="25"/>
        <v>0</v>
      </c>
      <c r="R93" s="287">
        <f t="shared" si="25"/>
        <v>0</v>
      </c>
      <c r="S93" s="287">
        <f t="shared" si="25"/>
        <v>0</v>
      </c>
      <c r="T93" s="287">
        <f t="shared" si="25"/>
        <v>0</v>
      </c>
    </row>
    <row r="94" spans="1:24" x14ac:dyDescent="0.4">
      <c r="F94" s="248" t="s">
        <v>279</v>
      </c>
      <c r="H94" s="310">
        <f>+IF(FORM!$C$15="Management",IF(FORM!$C$4="TA",Projections!C92,Projections!B92),0)</f>
        <v>0.2</v>
      </c>
      <c r="I94" s="63"/>
      <c r="K94" s="287">
        <f t="shared" ref="K94:T94" si="26">+$H$94*(K89-K93)</f>
        <v>0</v>
      </c>
      <c r="L94" s="287">
        <f t="shared" si="26"/>
        <v>0</v>
      </c>
      <c r="M94" s="287">
        <f t="shared" si="26"/>
        <v>0</v>
      </c>
      <c r="N94" s="287">
        <f t="shared" si="26"/>
        <v>49852.478612160012</v>
      </c>
      <c r="O94" s="287">
        <f t="shared" si="26"/>
        <v>54799.978586317273</v>
      </c>
      <c r="P94" s="287">
        <f t="shared" si="26"/>
        <v>0</v>
      </c>
      <c r="Q94" s="287">
        <f t="shared" si="26"/>
        <v>0</v>
      </c>
      <c r="R94" s="287">
        <f t="shared" si="26"/>
        <v>0</v>
      </c>
      <c r="S94" s="287">
        <f t="shared" si="26"/>
        <v>0</v>
      </c>
      <c r="T94" s="287">
        <f t="shared" si="26"/>
        <v>0</v>
      </c>
    </row>
    <row r="95" spans="1:24" s="91" customFormat="1" x14ac:dyDescent="0.4">
      <c r="A95" s="88"/>
      <c r="B95" s="88"/>
      <c r="C95" s="88"/>
      <c r="D95" s="88"/>
      <c r="E95" s="90"/>
      <c r="F95" s="250"/>
      <c r="G95" s="255"/>
      <c r="H95" s="255"/>
      <c r="I95" s="255"/>
      <c r="J95" s="255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V95" s="122"/>
      <c r="W95" s="187">
        <f>+SUM(K97:T97)</f>
        <v>418609.82879390911</v>
      </c>
    </row>
    <row r="96" spans="1:24" x14ac:dyDescent="0.4">
      <c r="B96" s="114"/>
      <c r="C96" s="128"/>
      <c r="F96" s="253"/>
      <c r="G96" s="255"/>
      <c r="H96" s="255"/>
      <c r="I96" s="255"/>
      <c r="J96" s="255"/>
      <c r="K96" s="330"/>
      <c r="L96" s="330"/>
      <c r="M96" s="330"/>
      <c r="N96" s="330"/>
      <c r="O96" s="330"/>
      <c r="P96" s="330"/>
      <c r="Q96" s="330"/>
      <c r="R96" s="330"/>
      <c r="S96" s="330"/>
      <c r="T96" s="330"/>
    </row>
    <row r="97" spans="1:23" ht="21.5" customHeight="1" x14ac:dyDescent="0.4">
      <c r="B97" s="114"/>
      <c r="C97" s="128"/>
      <c r="F97" s="302" t="s">
        <v>41</v>
      </c>
      <c r="G97" s="303"/>
      <c r="H97" s="304"/>
      <c r="I97" s="303"/>
      <c r="J97" s="303"/>
      <c r="K97" s="305">
        <f t="shared" ref="K97:T97" si="27">+K89-K92</f>
        <v>0</v>
      </c>
      <c r="L97" s="305">
        <f t="shared" si="27"/>
        <v>0</v>
      </c>
      <c r="M97" s="305">
        <f t="shared" si="27"/>
        <v>0</v>
      </c>
      <c r="N97" s="305">
        <f t="shared" si="27"/>
        <v>199409.91444864002</v>
      </c>
      <c r="O97" s="305">
        <f t="shared" si="27"/>
        <v>219199.91434526909</v>
      </c>
      <c r="P97" s="305">
        <f t="shared" si="27"/>
        <v>0</v>
      </c>
      <c r="Q97" s="305">
        <f t="shared" si="27"/>
        <v>0</v>
      </c>
      <c r="R97" s="305">
        <f t="shared" si="27"/>
        <v>0</v>
      </c>
      <c r="S97" s="305">
        <f t="shared" si="27"/>
        <v>0</v>
      </c>
      <c r="T97" s="306">
        <f t="shared" si="27"/>
        <v>0</v>
      </c>
    </row>
    <row r="98" spans="1:23" s="91" customFormat="1" hidden="1" x14ac:dyDescent="0.4">
      <c r="A98" s="88"/>
      <c r="B98" s="88"/>
      <c r="C98" s="88"/>
      <c r="D98" s="88"/>
      <c r="E98" s="90"/>
      <c r="F98" s="250"/>
      <c r="G98" s="255"/>
      <c r="H98" s="255"/>
      <c r="I98" s="255"/>
      <c r="J98" s="255"/>
      <c r="K98" s="323" t="str">
        <f t="shared" ref="K98:T98" si="28">+IFERROR(K97/K71,"")</f>
        <v/>
      </c>
      <c r="L98" s="323" t="str">
        <f t="shared" si="28"/>
        <v/>
      </c>
      <c r="M98" s="323" t="str">
        <f t="shared" si="28"/>
        <v/>
      </c>
      <c r="N98" s="323">
        <f t="shared" si="28"/>
        <v>0.38399999999999995</v>
      </c>
      <c r="O98" s="323">
        <f t="shared" si="28"/>
        <v>0.38400000000000001</v>
      </c>
      <c r="P98" s="323" t="str">
        <f t="shared" si="28"/>
        <v/>
      </c>
      <c r="Q98" s="323" t="str">
        <f t="shared" si="28"/>
        <v/>
      </c>
      <c r="R98" s="323" t="str">
        <f t="shared" si="28"/>
        <v/>
      </c>
      <c r="S98" s="323" t="str">
        <f t="shared" si="28"/>
        <v/>
      </c>
      <c r="T98" s="323" t="str">
        <f t="shared" si="28"/>
        <v/>
      </c>
      <c r="V98" s="122"/>
      <c r="W98" s="202">
        <f>+SUM(K100:T100)</f>
        <v>-4640.1712060908903</v>
      </c>
    </row>
    <row r="99" spans="1:23" hidden="1" x14ac:dyDescent="0.4">
      <c r="F99" s="250"/>
      <c r="G99" s="255"/>
      <c r="H99" s="255"/>
      <c r="I99" s="255"/>
      <c r="J99" s="255"/>
      <c r="K99" s="324"/>
      <c r="L99" s="325"/>
      <c r="M99" s="325"/>
      <c r="N99" s="325"/>
      <c r="O99" s="325"/>
      <c r="P99" s="325"/>
      <c r="Q99" s="325"/>
      <c r="R99" s="325"/>
      <c r="S99" s="325"/>
      <c r="T99" s="325"/>
    </row>
    <row r="100" spans="1:23" ht="18.5" hidden="1" x14ac:dyDescent="0.5">
      <c r="F100" s="326" t="s">
        <v>51</v>
      </c>
      <c r="G100" s="327"/>
      <c r="H100" s="327"/>
      <c r="I100" s="327"/>
      <c r="J100" s="327"/>
      <c r="K100" s="328">
        <f>+K97+K26</f>
        <v>-423250</v>
      </c>
      <c r="L100" s="328">
        <f t="shared" ref="L100:T100" si="29">+L97</f>
        <v>0</v>
      </c>
      <c r="M100" s="328">
        <f t="shared" si="29"/>
        <v>0</v>
      </c>
      <c r="N100" s="328">
        <f t="shared" si="29"/>
        <v>199409.91444864002</v>
      </c>
      <c r="O100" s="328">
        <f t="shared" si="29"/>
        <v>219199.91434526909</v>
      </c>
      <c r="P100" s="328">
        <f t="shared" si="29"/>
        <v>0</v>
      </c>
      <c r="Q100" s="328">
        <f t="shared" si="29"/>
        <v>0</v>
      </c>
      <c r="R100" s="328">
        <f t="shared" si="29"/>
        <v>0</v>
      </c>
      <c r="S100" s="328">
        <f t="shared" si="29"/>
        <v>0</v>
      </c>
      <c r="T100" s="328">
        <f t="shared" si="29"/>
        <v>0</v>
      </c>
    </row>
    <row r="101" spans="1:23" x14ac:dyDescent="0.4">
      <c r="B101" s="114"/>
      <c r="C101" s="128"/>
      <c r="F101" s="249"/>
    </row>
    <row r="102" spans="1:23" x14ac:dyDescent="0.4">
      <c r="B102" s="114" t="s">
        <v>118</v>
      </c>
      <c r="C102" s="39">
        <v>0.03</v>
      </c>
      <c r="F102" s="248" t="s">
        <v>118</v>
      </c>
      <c r="K102" s="287">
        <v>0</v>
      </c>
      <c r="L102" s="287">
        <f t="shared" ref="L102:T102" si="30">+L71*$C$102</f>
        <v>0</v>
      </c>
      <c r="M102" s="287">
        <f t="shared" si="30"/>
        <v>0</v>
      </c>
      <c r="N102" s="287">
        <f t="shared" si="30"/>
        <v>15578.899566300002</v>
      </c>
      <c r="O102" s="287">
        <f t="shared" si="30"/>
        <v>17124.993308224148</v>
      </c>
      <c r="P102" s="287">
        <f t="shared" si="30"/>
        <v>0</v>
      </c>
      <c r="Q102" s="287">
        <f t="shared" si="30"/>
        <v>0</v>
      </c>
      <c r="R102" s="287">
        <f t="shared" si="30"/>
        <v>0</v>
      </c>
      <c r="S102" s="287">
        <f t="shared" si="30"/>
        <v>0</v>
      </c>
      <c r="T102" s="287">
        <f t="shared" si="30"/>
        <v>0</v>
      </c>
    </row>
    <row r="103" spans="1:23" x14ac:dyDescent="0.4">
      <c r="F103" s="248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</row>
    <row r="104" spans="1:23" x14ac:dyDescent="0.4">
      <c r="F104" s="248" t="s">
        <v>170</v>
      </c>
      <c r="K104" s="287">
        <f t="shared" ref="K104:T104" si="31">+IF($C$192=K183,K100/$C$196,0)</f>
        <v>0</v>
      </c>
      <c r="L104" s="287">
        <f t="shared" si="31"/>
        <v>0</v>
      </c>
      <c r="M104" s="287">
        <f t="shared" si="31"/>
        <v>0</v>
      </c>
      <c r="N104" s="287">
        <f t="shared" si="31"/>
        <v>0</v>
      </c>
      <c r="O104" s="287">
        <f t="shared" si="31"/>
        <v>3985452.9880958018</v>
      </c>
      <c r="P104" s="287">
        <f t="shared" si="31"/>
        <v>0</v>
      </c>
      <c r="Q104" s="287">
        <f t="shared" si="31"/>
        <v>0</v>
      </c>
      <c r="R104" s="287">
        <f t="shared" si="31"/>
        <v>0</v>
      </c>
      <c r="S104" s="287">
        <f t="shared" si="31"/>
        <v>0</v>
      </c>
      <c r="T104" s="287">
        <f t="shared" si="31"/>
        <v>0</v>
      </c>
    </row>
    <row r="105" spans="1:23" x14ac:dyDescent="0.4">
      <c r="F105" s="249"/>
    </row>
    <row r="106" spans="1:23" ht="21.5" customHeight="1" x14ac:dyDescent="0.4">
      <c r="F106" s="302" t="s">
        <v>119</v>
      </c>
      <c r="G106" s="303"/>
      <c r="H106" s="304"/>
      <c r="I106" s="303"/>
      <c r="J106" s="303"/>
      <c r="K106" s="305">
        <f t="shared" ref="K106:T106" si="32">+K26+K71-K86-K92-K102+K104</f>
        <v>-423250</v>
      </c>
      <c r="L106" s="305">
        <f t="shared" si="32"/>
        <v>0</v>
      </c>
      <c r="M106" s="305">
        <f t="shared" si="32"/>
        <v>-2597523.9533724999</v>
      </c>
      <c r="N106" s="305">
        <f t="shared" si="32"/>
        <v>183831.01488234001</v>
      </c>
      <c r="O106" s="305">
        <f t="shared" si="32"/>
        <v>4187527.9091328466</v>
      </c>
      <c r="P106" s="305">
        <f t="shared" si="32"/>
        <v>0</v>
      </c>
      <c r="Q106" s="305">
        <f t="shared" si="32"/>
        <v>0</v>
      </c>
      <c r="R106" s="305">
        <f t="shared" si="32"/>
        <v>0</v>
      </c>
      <c r="S106" s="305">
        <f t="shared" si="32"/>
        <v>0</v>
      </c>
      <c r="T106" s="306">
        <f t="shared" si="32"/>
        <v>0</v>
      </c>
    </row>
    <row r="107" spans="1:23" x14ac:dyDescent="0.4">
      <c r="F107" s="249"/>
    </row>
    <row r="108" spans="1:23" x14ac:dyDescent="0.4">
      <c r="F108" s="249"/>
    </row>
    <row r="109" spans="1:23" ht="21.5" customHeight="1" x14ac:dyDescent="0.4">
      <c r="F109" s="302" t="s">
        <v>289</v>
      </c>
      <c r="G109" s="303"/>
      <c r="H109" s="304"/>
      <c r="I109" s="303"/>
      <c r="J109" s="303"/>
      <c r="K109" s="311">
        <f>+XIRR(K106:T106,K182:T182)</f>
        <v>0.17617536187171937</v>
      </c>
      <c r="L109" s="322"/>
      <c r="M109" s="322"/>
      <c r="N109" s="322"/>
      <c r="O109" s="322"/>
      <c r="P109" s="322"/>
      <c r="Q109" s="322"/>
      <c r="R109" s="322"/>
      <c r="S109" s="322"/>
      <c r="T109" s="322"/>
    </row>
    <row r="112" spans="1:23" hidden="1" x14ac:dyDescent="0.4"/>
    <row r="113" spans="1:23" hidden="1" x14ac:dyDescent="0.4"/>
    <row r="114" spans="1:23" hidden="1" x14ac:dyDescent="0.4"/>
    <row r="115" spans="1:23" hidden="1" x14ac:dyDescent="0.4">
      <c r="C115" s="113" t="s">
        <v>115</v>
      </c>
      <c r="H115" s="132" t="s">
        <v>35</v>
      </c>
      <c r="I115" s="134" t="s">
        <v>125</v>
      </c>
      <c r="J115" s="138"/>
      <c r="K115" s="134" t="s">
        <v>124</v>
      </c>
    </row>
    <row r="116" spans="1:23" hidden="1" x14ac:dyDescent="0.4">
      <c r="C116" s="113"/>
      <c r="H116" s="132"/>
      <c r="I116" s="134"/>
      <c r="J116" s="138"/>
      <c r="K116" s="134"/>
    </row>
    <row r="117" spans="1:23" hidden="1" x14ac:dyDescent="0.4">
      <c r="C117" s="62">
        <v>80000</v>
      </c>
      <c r="F117" s="58" t="s">
        <v>117</v>
      </c>
      <c r="H117" s="139">
        <v>1</v>
      </c>
      <c r="I117" s="57">
        <f>+C117</f>
        <v>80000</v>
      </c>
      <c r="K117" s="57">
        <f>+C117*H117</f>
        <v>80000</v>
      </c>
    </row>
    <row r="118" spans="1:23" hidden="1" x14ac:dyDescent="0.4">
      <c r="C118" s="127"/>
      <c r="F118" s="58"/>
      <c r="H118" s="66"/>
      <c r="I118" s="57"/>
      <c r="K118" s="57"/>
    </row>
    <row r="119" spans="1:23" ht="18.5" hidden="1" x14ac:dyDescent="0.5">
      <c r="C119" s="127"/>
      <c r="F119" s="59" t="s">
        <v>126</v>
      </c>
      <c r="G119" s="135"/>
      <c r="H119" s="136"/>
      <c r="I119" s="136"/>
      <c r="J119" s="135"/>
      <c r="K119" s="137">
        <f>+SUM(K117:K117)</f>
        <v>80000</v>
      </c>
    </row>
    <row r="120" spans="1:23" hidden="1" x14ac:dyDescent="0.4"/>
    <row r="121" spans="1:23" hidden="1" x14ac:dyDescent="0.4"/>
    <row r="122" spans="1:23" hidden="1" x14ac:dyDescent="0.4"/>
    <row r="123" spans="1:23" hidden="1" x14ac:dyDescent="0.4"/>
    <row r="124" spans="1:23" ht="21.75" hidden="1" customHeight="1" x14ac:dyDescent="0.5">
      <c r="F124" s="124" t="s">
        <v>123</v>
      </c>
      <c r="K124" s="116">
        <v>2026</v>
      </c>
      <c r="L124" s="116">
        <v>2027</v>
      </c>
      <c r="M124" s="116">
        <v>2028</v>
      </c>
      <c r="N124" s="116">
        <v>2029</v>
      </c>
      <c r="O124" s="116">
        <v>2030</v>
      </c>
      <c r="P124" s="116">
        <v>2031</v>
      </c>
      <c r="Q124" s="116">
        <v>2032</v>
      </c>
      <c r="R124" s="116">
        <v>2033</v>
      </c>
      <c r="S124" s="116">
        <v>2034</v>
      </c>
      <c r="T124" s="116">
        <v>2035</v>
      </c>
    </row>
    <row r="125" spans="1:23" hidden="1" x14ac:dyDescent="0.4"/>
    <row r="126" spans="1:23" s="91" customFormat="1" ht="18.5" hidden="1" x14ac:dyDescent="0.5">
      <c r="A126" s="88"/>
      <c r="B126" s="88"/>
      <c r="C126" s="88"/>
      <c r="D126" s="88"/>
      <c r="E126" s="90"/>
      <c r="F126" s="59" t="s">
        <v>37</v>
      </c>
      <c r="K126" s="119">
        <f>+K127</f>
        <v>480000</v>
      </c>
      <c r="L126" s="119">
        <f t="shared" ref="L126:T126" si="33">+L127</f>
        <v>540000</v>
      </c>
      <c r="M126" s="119">
        <f t="shared" si="33"/>
        <v>556200</v>
      </c>
      <c r="N126" s="119">
        <f t="shared" si="33"/>
        <v>572886</v>
      </c>
      <c r="O126" s="119">
        <f t="shared" si="33"/>
        <v>590072.57999999996</v>
      </c>
      <c r="P126" s="119">
        <f t="shared" si="33"/>
        <v>607774.7574</v>
      </c>
      <c r="Q126" s="119">
        <f t="shared" si="33"/>
        <v>626008.000122</v>
      </c>
      <c r="R126" s="119">
        <f t="shared" si="33"/>
        <v>644788.24012565997</v>
      </c>
      <c r="S126" s="119">
        <f t="shared" si="33"/>
        <v>664131.88732942974</v>
      </c>
      <c r="T126" s="119">
        <f t="shared" si="33"/>
        <v>684055.84394931269</v>
      </c>
      <c r="U126" s="121"/>
      <c r="V126" s="122"/>
      <c r="W126" s="187">
        <v>32323593.742906321</v>
      </c>
    </row>
    <row r="127" spans="1:23" ht="18" hidden="1" customHeight="1" x14ac:dyDescent="0.4">
      <c r="F127" s="58" t="s">
        <v>100</v>
      </c>
      <c r="H127" s="61">
        <v>40000</v>
      </c>
      <c r="I127" s="66"/>
      <c r="K127" s="120">
        <f>+H127*12</f>
        <v>480000</v>
      </c>
      <c r="L127" s="120">
        <f>45000*12</f>
        <v>540000</v>
      </c>
      <c r="M127" s="120">
        <f t="shared" ref="M127:T127" si="34">+L127*(1+SUM($C$40:$C$41))</f>
        <v>556200</v>
      </c>
      <c r="N127" s="120">
        <f t="shared" si="34"/>
        <v>572886</v>
      </c>
      <c r="O127" s="120">
        <f t="shared" si="34"/>
        <v>590072.57999999996</v>
      </c>
      <c r="P127" s="120">
        <f t="shared" si="34"/>
        <v>607774.7574</v>
      </c>
      <c r="Q127" s="120">
        <f t="shared" si="34"/>
        <v>626008.000122</v>
      </c>
      <c r="R127" s="120">
        <f t="shared" si="34"/>
        <v>644788.24012565997</v>
      </c>
      <c r="S127" s="120">
        <f t="shared" si="34"/>
        <v>664131.88732942974</v>
      </c>
      <c r="T127" s="120">
        <f t="shared" si="34"/>
        <v>684055.84394931269</v>
      </c>
      <c r="U127" s="117"/>
    </row>
    <row r="128" spans="1:23" ht="18" hidden="1" customHeight="1" x14ac:dyDescent="0.4">
      <c r="F128" s="58"/>
      <c r="H128" s="66"/>
      <c r="I128" s="66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17"/>
    </row>
    <row r="129" spans="1:23" ht="18" hidden="1" customHeight="1" x14ac:dyDescent="0.4">
      <c r="F129" s="100" t="s">
        <v>114</v>
      </c>
      <c r="G129" s="103"/>
      <c r="H129" s="102">
        <v>8</v>
      </c>
      <c r="I129" s="91"/>
      <c r="J129" s="91"/>
      <c r="K129" s="110">
        <f>-(H133)*H129</f>
        <v>-24000</v>
      </c>
      <c r="L129" s="110"/>
      <c r="M129" s="110"/>
      <c r="N129" s="110"/>
      <c r="O129" s="110"/>
      <c r="P129" s="110"/>
      <c r="Q129" s="110"/>
      <c r="R129" s="110"/>
      <c r="S129" s="110"/>
      <c r="T129" s="110"/>
      <c r="U129" s="117"/>
    </row>
    <row r="130" spans="1:23" ht="18" hidden="1" customHeight="1" x14ac:dyDescent="0.4">
      <c r="F130" s="58"/>
      <c r="H130" s="66"/>
      <c r="I130" s="66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17"/>
    </row>
    <row r="131" spans="1:23" ht="18.5" hidden="1" x14ac:dyDescent="0.5">
      <c r="F131" s="59" t="s">
        <v>39</v>
      </c>
      <c r="G131" s="91"/>
      <c r="H131" s="91"/>
      <c r="I131" s="91"/>
      <c r="J131" s="91"/>
      <c r="K131" s="106">
        <f>+MAX(K133:K134)</f>
        <v>38400</v>
      </c>
      <c r="L131" s="106">
        <f t="shared" ref="L131:T131" si="35">+MAX(L133:L134)</f>
        <v>43200</v>
      </c>
      <c r="M131" s="106">
        <f t="shared" si="35"/>
        <v>44496</v>
      </c>
      <c r="N131" s="106">
        <f t="shared" si="35"/>
        <v>45830.879999999997</v>
      </c>
      <c r="O131" s="106">
        <f t="shared" si="35"/>
        <v>47205.806399999994</v>
      </c>
      <c r="P131" s="106">
        <f t="shared" si="35"/>
        <v>48621.980592</v>
      </c>
      <c r="Q131" s="106">
        <f t="shared" si="35"/>
        <v>50080.640009759998</v>
      </c>
      <c r="R131" s="106">
        <f t="shared" si="35"/>
        <v>51583.059210052801</v>
      </c>
      <c r="S131" s="106">
        <f t="shared" si="35"/>
        <v>53130.550986354378</v>
      </c>
      <c r="T131" s="106">
        <f t="shared" si="35"/>
        <v>54724.46751594502</v>
      </c>
      <c r="U131" s="117">
        <f t="shared" ref="U131" si="36">+U132+U129</f>
        <v>0</v>
      </c>
    </row>
    <row r="132" spans="1:23" ht="18" hidden="1" customHeight="1" x14ac:dyDescent="0.5">
      <c r="F132" s="59" t="s">
        <v>39</v>
      </c>
      <c r="G132" s="91"/>
      <c r="H132" s="91"/>
      <c r="I132" s="91"/>
      <c r="J132" s="91"/>
      <c r="K132" s="106">
        <f>+K133</f>
        <v>36000</v>
      </c>
      <c r="L132" s="106">
        <f t="shared" ref="L132:T132" si="37">+IF(L127&lt;0,MIN(L133:L135),MAX(L133:L135))</f>
        <v>43200</v>
      </c>
      <c r="M132" s="106">
        <f t="shared" si="37"/>
        <v>44496</v>
      </c>
      <c r="N132" s="106">
        <f t="shared" si="37"/>
        <v>45830.879999999997</v>
      </c>
      <c r="O132" s="106">
        <f t="shared" si="37"/>
        <v>47205.806399999994</v>
      </c>
      <c r="P132" s="106">
        <f t="shared" si="37"/>
        <v>48621.980592</v>
      </c>
      <c r="Q132" s="106">
        <f t="shared" si="37"/>
        <v>50080.640009759998</v>
      </c>
      <c r="R132" s="106">
        <f t="shared" si="37"/>
        <v>51583.059210052801</v>
      </c>
      <c r="S132" s="106">
        <f t="shared" si="37"/>
        <v>53130.550986354378</v>
      </c>
      <c r="T132" s="106">
        <f t="shared" si="37"/>
        <v>54724.46751594502</v>
      </c>
      <c r="U132" s="117"/>
    </row>
    <row r="133" spans="1:23" ht="18" hidden="1" customHeight="1" x14ac:dyDescent="0.4">
      <c r="F133" s="58" t="s">
        <v>97</v>
      </c>
      <c r="H133" s="73">
        <v>3000</v>
      </c>
      <c r="I133" s="66"/>
      <c r="K133" s="118">
        <f>+$H133*12</f>
        <v>36000</v>
      </c>
      <c r="L133" s="118">
        <f t="shared" ref="L133:T133" si="38">+K133*(1+$C$40)</f>
        <v>36900</v>
      </c>
      <c r="M133" s="118">
        <f t="shared" si="38"/>
        <v>37822.5</v>
      </c>
      <c r="N133" s="118">
        <f t="shared" si="38"/>
        <v>38768.0625</v>
      </c>
      <c r="O133" s="118">
        <f t="shared" si="38"/>
        <v>39737.264062499999</v>
      </c>
      <c r="P133" s="118">
        <f t="shared" si="38"/>
        <v>40730.695664062492</v>
      </c>
      <c r="Q133" s="118">
        <f t="shared" si="38"/>
        <v>41748.963055664048</v>
      </c>
      <c r="R133" s="118">
        <f t="shared" si="38"/>
        <v>42792.687132055646</v>
      </c>
      <c r="S133" s="118">
        <f t="shared" si="38"/>
        <v>43862.504310357035</v>
      </c>
      <c r="T133" s="118">
        <f t="shared" si="38"/>
        <v>44959.066918115954</v>
      </c>
      <c r="U133" s="117"/>
    </row>
    <row r="134" spans="1:23" ht="18" hidden="1" customHeight="1" x14ac:dyDescent="0.4">
      <c r="F134" s="58" t="s">
        <v>40</v>
      </c>
      <c r="H134" s="76">
        <v>0.08</v>
      </c>
      <c r="I134" s="66"/>
      <c r="K134" s="118">
        <f>+K126*$H$134</f>
        <v>38400</v>
      </c>
      <c r="L134" s="118">
        <f t="shared" ref="L134:T134" si="39">+L126*$H$134</f>
        <v>43200</v>
      </c>
      <c r="M134" s="118">
        <f t="shared" si="39"/>
        <v>44496</v>
      </c>
      <c r="N134" s="118">
        <f t="shared" si="39"/>
        <v>45830.879999999997</v>
      </c>
      <c r="O134" s="118">
        <f t="shared" si="39"/>
        <v>47205.806399999994</v>
      </c>
      <c r="P134" s="118">
        <f t="shared" si="39"/>
        <v>48621.980592</v>
      </c>
      <c r="Q134" s="118">
        <f t="shared" si="39"/>
        <v>50080.640009759998</v>
      </c>
      <c r="R134" s="118">
        <f t="shared" si="39"/>
        <v>51583.059210052801</v>
      </c>
      <c r="S134" s="118">
        <f t="shared" si="39"/>
        <v>53130.550986354378</v>
      </c>
      <c r="T134" s="118">
        <f t="shared" si="39"/>
        <v>54724.46751594502</v>
      </c>
      <c r="U134" s="118"/>
    </row>
    <row r="135" spans="1:23" ht="17.149999999999999" hidden="1" customHeight="1" x14ac:dyDescent="0.4"/>
    <row r="136" spans="1:23" s="53" customFormat="1" hidden="1" x14ac:dyDescent="0.4">
      <c r="A136" s="36"/>
      <c r="B136" s="36"/>
      <c r="C136" s="36"/>
      <c r="D136" s="36"/>
      <c r="E136" s="72"/>
      <c r="V136" s="192"/>
      <c r="W136" s="188"/>
    </row>
    <row r="137" spans="1:23" ht="18" hidden="1" customHeight="1" x14ac:dyDescent="0.4">
      <c r="F137" s="58"/>
      <c r="H137" s="66"/>
      <c r="I137" s="6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</row>
    <row r="138" spans="1:23" hidden="1" x14ac:dyDescent="0.4"/>
    <row r="139" spans="1:23" hidden="1" x14ac:dyDescent="0.4"/>
    <row r="140" spans="1:23" ht="18.5" hidden="1" x14ac:dyDescent="0.5">
      <c r="F140" s="59" t="s">
        <v>38</v>
      </c>
      <c r="K140" s="119">
        <f>+SUM(K141:K143)</f>
        <v>468000</v>
      </c>
      <c r="L140" s="119">
        <f t="shared" ref="L140:T140" si="40">+K140*(1+$C$40)</f>
        <v>479699.99999999994</v>
      </c>
      <c r="M140" s="119">
        <f t="shared" si="40"/>
        <v>491692.49999999988</v>
      </c>
      <c r="N140" s="119">
        <f t="shared" si="40"/>
        <v>503984.81249999983</v>
      </c>
      <c r="O140" s="119">
        <f t="shared" si="40"/>
        <v>516584.43281249976</v>
      </c>
      <c r="P140" s="119">
        <f t="shared" si="40"/>
        <v>529499.04363281222</v>
      </c>
      <c r="Q140" s="119">
        <f t="shared" si="40"/>
        <v>542736.51972363249</v>
      </c>
      <c r="R140" s="119">
        <f t="shared" si="40"/>
        <v>556304.9327167233</v>
      </c>
      <c r="S140" s="119">
        <f t="shared" si="40"/>
        <v>570212.55603464134</v>
      </c>
      <c r="T140" s="119">
        <f t="shared" si="40"/>
        <v>584467.8699355073</v>
      </c>
      <c r="U140" s="117"/>
    </row>
    <row r="141" spans="1:23" ht="18" hidden="1" customHeight="1" x14ac:dyDescent="0.4">
      <c r="E141" s="75"/>
      <c r="F141" s="58" t="s">
        <v>97</v>
      </c>
      <c r="H141" s="73">
        <v>3000</v>
      </c>
      <c r="I141" s="66" t="s">
        <v>88</v>
      </c>
      <c r="K141" s="118">
        <f>+$H141*12</f>
        <v>36000</v>
      </c>
      <c r="L141" s="118">
        <f t="shared" ref="L141:T141" si="41">+K141*(1+$C$40)</f>
        <v>36900</v>
      </c>
      <c r="M141" s="118">
        <f t="shared" si="41"/>
        <v>37822.5</v>
      </c>
      <c r="N141" s="118">
        <f t="shared" si="41"/>
        <v>38768.0625</v>
      </c>
      <c r="O141" s="118">
        <f t="shared" si="41"/>
        <v>39737.264062499999</v>
      </c>
      <c r="P141" s="118">
        <f t="shared" si="41"/>
        <v>40730.695664062492</v>
      </c>
      <c r="Q141" s="118">
        <f t="shared" si="41"/>
        <v>41748.963055664048</v>
      </c>
      <c r="R141" s="118">
        <f t="shared" si="41"/>
        <v>42792.687132055646</v>
      </c>
      <c r="S141" s="118">
        <f t="shared" si="41"/>
        <v>43862.504310357035</v>
      </c>
      <c r="T141" s="118">
        <f t="shared" si="41"/>
        <v>44959.066918115954</v>
      </c>
      <c r="U141" s="117"/>
    </row>
    <row r="142" spans="1:23" ht="18" hidden="1" customHeight="1" x14ac:dyDescent="0.4">
      <c r="E142" s="80">
        <v>10</v>
      </c>
      <c r="F142" s="58" t="s">
        <v>103</v>
      </c>
      <c r="H142" s="73">
        <v>2200</v>
      </c>
      <c r="I142" s="66" t="s">
        <v>88</v>
      </c>
      <c r="K142" s="118">
        <f>+$H142*$E142*12</f>
        <v>264000</v>
      </c>
      <c r="L142" s="118">
        <f t="shared" ref="L142:T142" si="42">+K142*(1+$C$40)</f>
        <v>270600</v>
      </c>
      <c r="M142" s="118">
        <f t="shared" si="42"/>
        <v>277365</v>
      </c>
      <c r="N142" s="118">
        <f t="shared" si="42"/>
        <v>284299.125</v>
      </c>
      <c r="O142" s="118">
        <f t="shared" si="42"/>
        <v>291406.60312499997</v>
      </c>
      <c r="P142" s="118">
        <f t="shared" si="42"/>
        <v>298691.76820312493</v>
      </c>
      <c r="Q142" s="118">
        <f t="shared" si="42"/>
        <v>306159.06240820303</v>
      </c>
      <c r="R142" s="118">
        <f t="shared" si="42"/>
        <v>313813.03896840807</v>
      </c>
      <c r="S142" s="118">
        <f t="shared" si="42"/>
        <v>321658.36494261824</v>
      </c>
      <c r="T142" s="118">
        <f t="shared" si="42"/>
        <v>329699.82406618365</v>
      </c>
      <c r="U142" s="117"/>
    </row>
    <row r="143" spans="1:23" ht="18" hidden="1" customHeight="1" x14ac:dyDescent="0.4">
      <c r="E143" s="75"/>
      <c r="F143" s="58" t="s">
        <v>104</v>
      </c>
      <c r="H143" s="76">
        <v>0.35</v>
      </c>
      <c r="I143" s="66" t="s">
        <v>105</v>
      </c>
      <c r="K143" s="118">
        <f>+$H143*K126</f>
        <v>168000</v>
      </c>
      <c r="L143" s="118">
        <f t="shared" ref="L143:T143" si="43">+$H143*L126</f>
        <v>189000</v>
      </c>
      <c r="M143" s="118">
        <f t="shared" si="43"/>
        <v>194670</v>
      </c>
      <c r="N143" s="118">
        <f t="shared" si="43"/>
        <v>200510.09999999998</v>
      </c>
      <c r="O143" s="118">
        <f t="shared" si="43"/>
        <v>206525.40299999996</v>
      </c>
      <c r="P143" s="118">
        <f t="shared" si="43"/>
        <v>212721.16508999999</v>
      </c>
      <c r="Q143" s="118">
        <f t="shared" si="43"/>
        <v>219102.80004269999</v>
      </c>
      <c r="R143" s="118">
        <f t="shared" si="43"/>
        <v>225675.88404398097</v>
      </c>
      <c r="S143" s="118">
        <f t="shared" si="43"/>
        <v>232446.16056530038</v>
      </c>
      <c r="T143" s="118">
        <f t="shared" si="43"/>
        <v>239419.54538225941</v>
      </c>
      <c r="U143" s="117"/>
    </row>
    <row r="144" spans="1:23" hidden="1" x14ac:dyDescent="0.4"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</row>
    <row r="145" spans="1:23" hidden="1" x14ac:dyDescent="0.4"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</row>
    <row r="146" spans="1:23" hidden="1" x14ac:dyDescent="0.4"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</row>
    <row r="147" spans="1:23" s="91" customFormat="1" ht="18.5" hidden="1" x14ac:dyDescent="0.5">
      <c r="A147" s="88"/>
      <c r="B147" s="88"/>
      <c r="C147" s="88"/>
      <c r="D147" s="88"/>
      <c r="E147" s="90"/>
      <c r="F147" s="59" t="s">
        <v>122</v>
      </c>
      <c r="K147" s="119">
        <f>+K126-K140</f>
        <v>12000</v>
      </c>
      <c r="L147" s="119">
        <f t="shared" ref="L147:T147" si="44">+L126-L140</f>
        <v>60300.000000000058</v>
      </c>
      <c r="M147" s="119">
        <f t="shared" si="44"/>
        <v>64507.500000000116</v>
      </c>
      <c r="N147" s="119">
        <f t="shared" si="44"/>
        <v>68901.187500000175</v>
      </c>
      <c r="O147" s="119">
        <f t="shared" si="44"/>
        <v>73488.147187500203</v>
      </c>
      <c r="P147" s="119">
        <f t="shared" si="44"/>
        <v>78275.713767187786</v>
      </c>
      <c r="Q147" s="119">
        <f t="shared" si="44"/>
        <v>83271.480398367508</v>
      </c>
      <c r="R147" s="119">
        <f t="shared" si="44"/>
        <v>88483.307408936671</v>
      </c>
      <c r="S147" s="119">
        <f t="shared" si="44"/>
        <v>93919.331294788397</v>
      </c>
      <c r="T147" s="119">
        <f t="shared" si="44"/>
        <v>99587.974013805389</v>
      </c>
      <c r="U147" s="121"/>
      <c r="V147" s="122"/>
      <c r="W147" s="187">
        <f>+SUM(K147:T147)</f>
        <v>722734.64157058636</v>
      </c>
    </row>
    <row r="148" spans="1:23" hidden="1" x14ac:dyDescent="0.4"/>
    <row r="149" spans="1:23" s="91" customFormat="1" ht="18.5" hidden="1" x14ac:dyDescent="0.5">
      <c r="A149" s="88"/>
      <c r="B149" s="88"/>
      <c r="C149" s="88"/>
      <c r="D149" s="88"/>
      <c r="E149" s="90"/>
      <c r="F149" s="59" t="s">
        <v>51</v>
      </c>
      <c r="K149" s="95">
        <f>+K147-K119</f>
        <v>-68000</v>
      </c>
      <c r="L149" s="95">
        <f t="shared" ref="L149:T149" si="45">+L147-L119</f>
        <v>60300.000000000058</v>
      </c>
      <c r="M149" s="95">
        <f t="shared" si="45"/>
        <v>64507.500000000116</v>
      </c>
      <c r="N149" s="95">
        <f t="shared" si="45"/>
        <v>68901.187500000175</v>
      </c>
      <c r="O149" s="95">
        <f t="shared" si="45"/>
        <v>73488.147187500203</v>
      </c>
      <c r="P149" s="95">
        <f t="shared" si="45"/>
        <v>78275.713767187786</v>
      </c>
      <c r="Q149" s="95">
        <f t="shared" si="45"/>
        <v>83271.480398367508</v>
      </c>
      <c r="R149" s="95">
        <f t="shared" si="45"/>
        <v>88483.307408936671</v>
      </c>
      <c r="S149" s="95">
        <f t="shared" si="45"/>
        <v>93919.331294788397</v>
      </c>
      <c r="T149" s="95">
        <f t="shared" si="45"/>
        <v>99587.974013805389</v>
      </c>
      <c r="V149" s="122"/>
      <c r="W149" s="187">
        <f>+SUM(K149:T149)</f>
        <v>642734.64157058625</v>
      </c>
    </row>
    <row r="150" spans="1:23" hidden="1" x14ac:dyDescent="0.4"/>
    <row r="151" spans="1:23" hidden="1" x14ac:dyDescent="0.4"/>
    <row r="152" spans="1:23" hidden="1" x14ac:dyDescent="0.4"/>
    <row r="153" spans="1:23" hidden="1" x14ac:dyDescent="0.4"/>
    <row r="154" spans="1:23" hidden="1" x14ac:dyDescent="0.4"/>
    <row r="155" spans="1:23" hidden="1" x14ac:dyDescent="0.4"/>
    <row r="156" spans="1:23" ht="18.5" hidden="1" x14ac:dyDescent="0.5">
      <c r="F156" s="59" t="s">
        <v>127</v>
      </c>
      <c r="G156" s="91"/>
      <c r="H156" s="91"/>
      <c r="I156" s="91"/>
      <c r="J156" s="91"/>
      <c r="K156" s="95">
        <f t="shared" ref="K156:T156" si="46">+K149+K100</f>
        <v>-491250</v>
      </c>
      <c r="L156" s="95">
        <f t="shared" si="46"/>
        <v>60300.000000000058</v>
      </c>
      <c r="M156" s="95">
        <f t="shared" si="46"/>
        <v>64507.500000000116</v>
      </c>
      <c r="N156" s="95">
        <f t="shared" si="46"/>
        <v>268311.10194864019</v>
      </c>
      <c r="O156" s="95">
        <f t="shared" si="46"/>
        <v>292688.06153276929</v>
      </c>
      <c r="P156" s="95">
        <f t="shared" si="46"/>
        <v>78275.713767187786</v>
      </c>
      <c r="Q156" s="95">
        <f t="shared" si="46"/>
        <v>83271.480398367508</v>
      </c>
      <c r="R156" s="95">
        <f t="shared" si="46"/>
        <v>88483.307408936671</v>
      </c>
      <c r="S156" s="95">
        <f t="shared" si="46"/>
        <v>93919.331294788397</v>
      </c>
      <c r="T156" s="95">
        <f t="shared" si="46"/>
        <v>99587.974013805389</v>
      </c>
    </row>
    <row r="157" spans="1:23" hidden="1" x14ac:dyDescent="0.4"/>
    <row r="158" spans="1:23" hidden="1" x14ac:dyDescent="0.4"/>
    <row r="159" spans="1:23" hidden="1" x14ac:dyDescent="0.4">
      <c r="F159" s="58" t="s">
        <v>129</v>
      </c>
      <c r="K159" s="126">
        <f>-M35*56*6</f>
        <v>0</v>
      </c>
      <c r="L159" s="126"/>
      <c r="M159" s="126"/>
      <c r="N159" s="126"/>
      <c r="O159" s="126"/>
      <c r="P159" s="126"/>
      <c r="Q159" s="126"/>
      <c r="R159" s="126"/>
      <c r="S159" s="126"/>
      <c r="T159" s="126"/>
    </row>
    <row r="160" spans="1:23" hidden="1" x14ac:dyDescent="0.4">
      <c r="F160" s="58" t="s">
        <v>130</v>
      </c>
      <c r="K160" s="126">
        <f>-H133*6</f>
        <v>-18000</v>
      </c>
      <c r="L160" s="126"/>
      <c r="M160" s="126"/>
      <c r="N160" s="126"/>
      <c r="O160" s="126"/>
      <c r="P160" s="126"/>
      <c r="Q160" s="126"/>
      <c r="R160" s="126"/>
      <c r="S160" s="126"/>
      <c r="T160" s="126"/>
    </row>
    <row r="161" spans="6:20" hidden="1" x14ac:dyDescent="0.4"/>
    <row r="162" spans="6:20" hidden="1" x14ac:dyDescent="0.4"/>
    <row r="163" spans="6:20" ht="18.5" hidden="1" x14ac:dyDescent="0.5">
      <c r="F163" s="59" t="s">
        <v>131</v>
      </c>
      <c r="G163" s="91"/>
      <c r="H163" s="91"/>
      <c r="I163" s="91"/>
      <c r="J163" s="91"/>
      <c r="K163" s="95">
        <f>+SUM(K156:K160)</f>
        <v>-509250</v>
      </c>
      <c r="L163" s="95">
        <f t="shared" ref="L163:T163" si="47">+SUM(L156:L160)</f>
        <v>60300.000000000058</v>
      </c>
      <c r="M163" s="95">
        <f t="shared" si="47"/>
        <v>64507.500000000116</v>
      </c>
      <c r="N163" s="95">
        <f t="shared" si="47"/>
        <v>268311.10194864019</v>
      </c>
      <c r="O163" s="95">
        <f t="shared" si="47"/>
        <v>292688.06153276929</v>
      </c>
      <c r="P163" s="95">
        <f t="shared" si="47"/>
        <v>78275.713767187786</v>
      </c>
      <c r="Q163" s="95">
        <f t="shared" si="47"/>
        <v>83271.480398367508</v>
      </c>
      <c r="R163" s="95">
        <f t="shared" si="47"/>
        <v>88483.307408936671</v>
      </c>
      <c r="S163" s="95">
        <f t="shared" si="47"/>
        <v>93919.331294788397</v>
      </c>
      <c r="T163" s="95">
        <f t="shared" si="47"/>
        <v>99587.974013805389</v>
      </c>
    </row>
    <row r="164" spans="6:20" hidden="1" x14ac:dyDescent="0.4"/>
    <row r="165" spans="6:20" hidden="1" x14ac:dyDescent="0.4"/>
    <row r="166" spans="6:20" hidden="1" x14ac:dyDescent="0.4"/>
    <row r="167" spans="6:20" hidden="1" x14ac:dyDescent="0.4"/>
    <row r="168" spans="6:20" hidden="1" x14ac:dyDescent="0.4"/>
    <row r="169" spans="6:20" hidden="1" x14ac:dyDescent="0.4">
      <c r="K169" s="145"/>
    </row>
    <row r="170" spans="6:20" ht="16.5" hidden="1" x14ac:dyDescent="0.4">
      <c r="K170" s="116">
        <v>2026</v>
      </c>
      <c r="L170" s="116">
        <v>2027</v>
      </c>
      <c r="M170" s="116">
        <v>2028</v>
      </c>
      <c r="N170" s="116">
        <v>2029</v>
      </c>
      <c r="O170" s="116">
        <v>2030</v>
      </c>
      <c r="P170" s="116">
        <v>2031</v>
      </c>
      <c r="Q170" s="116">
        <v>2032</v>
      </c>
      <c r="R170" s="116">
        <v>2033</v>
      </c>
      <c r="S170" s="116">
        <v>2034</v>
      </c>
      <c r="T170" s="116">
        <v>2035</v>
      </c>
    </row>
    <row r="171" spans="6:20" ht="18.5" hidden="1" x14ac:dyDescent="0.5">
      <c r="F171" s="59" t="s">
        <v>39</v>
      </c>
      <c r="G171" s="91"/>
      <c r="H171" s="91"/>
      <c r="I171" s="91"/>
      <c r="J171" s="91"/>
      <c r="K171" s="106">
        <f>+MAX(K173,K176)+MAX(K174,K177)</f>
        <v>945600</v>
      </c>
      <c r="L171" s="106">
        <f t="shared" ref="L171:T171" si="48">+MAX(L173,L176)+MAX(L174,L177)</f>
        <v>1000800</v>
      </c>
      <c r="M171" s="106">
        <f t="shared" si="48"/>
        <v>1052496</v>
      </c>
      <c r="N171" s="106">
        <f t="shared" si="48"/>
        <v>1084070.8799999999</v>
      </c>
      <c r="O171" s="106">
        <f t="shared" si="48"/>
        <v>1116593.0064000001</v>
      </c>
      <c r="P171" s="106">
        <f t="shared" si="48"/>
        <v>1150090.7965920002</v>
      </c>
      <c r="Q171" s="106">
        <f t="shared" si="48"/>
        <v>1184593.5204897602</v>
      </c>
      <c r="R171" s="106">
        <f t="shared" si="48"/>
        <v>1220131.3261044528</v>
      </c>
      <c r="S171" s="106">
        <f t="shared" si="48"/>
        <v>1256735.2658875869</v>
      </c>
      <c r="T171" s="106">
        <f t="shared" si="48"/>
        <v>1294437.3238642144</v>
      </c>
    </row>
    <row r="172" spans="6:20" hidden="1" x14ac:dyDescent="0.4"/>
    <row r="173" spans="6:20" hidden="1" x14ac:dyDescent="0.4">
      <c r="F173" s="58" t="s">
        <v>132</v>
      </c>
      <c r="K173" s="108">
        <v>907200</v>
      </c>
      <c r="L173" s="108">
        <v>957600</v>
      </c>
      <c r="M173" s="108">
        <v>1008000</v>
      </c>
      <c r="N173" s="108">
        <v>1038240</v>
      </c>
      <c r="O173" s="108">
        <v>1069387.2000000002</v>
      </c>
      <c r="P173" s="108">
        <v>1101468.8160000001</v>
      </c>
      <c r="Q173" s="108">
        <v>1134512.8804800003</v>
      </c>
      <c r="R173" s="108">
        <v>1168548.2668944001</v>
      </c>
      <c r="S173" s="108">
        <v>1203604.7149012324</v>
      </c>
      <c r="T173" s="108">
        <v>1239712.8563482694</v>
      </c>
    </row>
    <row r="174" spans="6:20" hidden="1" x14ac:dyDescent="0.4">
      <c r="F174" s="58" t="s">
        <v>133</v>
      </c>
      <c r="K174" s="108">
        <f>+K133</f>
        <v>36000</v>
      </c>
      <c r="L174" s="108">
        <f t="shared" ref="L174:T174" si="49">+L133</f>
        <v>36900</v>
      </c>
      <c r="M174" s="108">
        <f t="shared" si="49"/>
        <v>37822.5</v>
      </c>
      <c r="N174" s="108">
        <f t="shared" si="49"/>
        <v>38768.0625</v>
      </c>
      <c r="O174" s="108">
        <f t="shared" si="49"/>
        <v>39737.264062499999</v>
      </c>
      <c r="P174" s="108">
        <f t="shared" si="49"/>
        <v>40730.695664062492</v>
      </c>
      <c r="Q174" s="108">
        <f t="shared" si="49"/>
        <v>41748.963055664048</v>
      </c>
      <c r="R174" s="108">
        <f t="shared" si="49"/>
        <v>42792.687132055646</v>
      </c>
      <c r="S174" s="108">
        <f t="shared" si="49"/>
        <v>43862.504310357035</v>
      </c>
      <c r="T174" s="108">
        <f t="shared" si="49"/>
        <v>44959.066918115954</v>
      </c>
    </row>
    <row r="175" spans="6:20" hidden="1" x14ac:dyDescent="0.4"/>
    <row r="176" spans="6:20" hidden="1" x14ac:dyDescent="0.4">
      <c r="F176" s="58" t="s">
        <v>134</v>
      </c>
      <c r="K176" s="108">
        <f t="shared" ref="K176:T176" si="50">+K84</f>
        <v>0</v>
      </c>
      <c r="L176" s="108">
        <f t="shared" si="50"/>
        <v>0</v>
      </c>
      <c r="M176" s="108">
        <f t="shared" si="50"/>
        <v>0</v>
      </c>
      <c r="N176" s="108">
        <f t="shared" si="50"/>
        <v>0</v>
      </c>
      <c r="O176" s="108">
        <f t="shared" si="50"/>
        <v>0</v>
      </c>
      <c r="P176" s="108">
        <f t="shared" si="50"/>
        <v>0</v>
      </c>
      <c r="Q176" s="108">
        <f t="shared" si="50"/>
        <v>0</v>
      </c>
      <c r="R176" s="108">
        <f t="shared" si="50"/>
        <v>0</v>
      </c>
      <c r="S176" s="108">
        <f t="shared" si="50"/>
        <v>0</v>
      </c>
      <c r="T176" s="108">
        <f t="shared" si="50"/>
        <v>0</v>
      </c>
    </row>
    <row r="177" spans="1:24" hidden="1" x14ac:dyDescent="0.4">
      <c r="F177" s="58" t="s">
        <v>135</v>
      </c>
      <c r="K177" s="108">
        <f>+K134</f>
        <v>38400</v>
      </c>
      <c r="L177" s="108">
        <f t="shared" ref="L177:T177" si="51">+L134</f>
        <v>43200</v>
      </c>
      <c r="M177" s="108">
        <f t="shared" si="51"/>
        <v>44496</v>
      </c>
      <c r="N177" s="108">
        <f t="shared" si="51"/>
        <v>45830.879999999997</v>
      </c>
      <c r="O177" s="108">
        <f t="shared" si="51"/>
        <v>47205.806399999994</v>
      </c>
      <c r="P177" s="108">
        <f t="shared" si="51"/>
        <v>48621.980592</v>
      </c>
      <c r="Q177" s="108">
        <f t="shared" si="51"/>
        <v>50080.640009759998</v>
      </c>
      <c r="R177" s="108">
        <f t="shared" si="51"/>
        <v>51583.059210052801</v>
      </c>
      <c r="S177" s="108">
        <f t="shared" si="51"/>
        <v>53130.550986354378</v>
      </c>
      <c r="T177" s="108">
        <f t="shared" si="51"/>
        <v>54724.46751594502</v>
      </c>
    </row>
    <row r="178" spans="1:24" hidden="1" x14ac:dyDescent="0.4"/>
    <row r="179" spans="1:24" s="53" customFormat="1" x14ac:dyDescent="0.4">
      <c r="A179" s="36"/>
      <c r="B179" s="36"/>
      <c r="C179" s="36"/>
      <c r="D179" s="36"/>
      <c r="E179" s="72"/>
      <c r="V179" s="192"/>
      <c r="W179" s="188"/>
    </row>
    <row r="181" spans="1:24" x14ac:dyDescent="0.4">
      <c r="K181" s="145"/>
      <c r="W181" s="46"/>
      <c r="X181" s="125"/>
    </row>
    <row r="182" spans="1:24" x14ac:dyDescent="0.4">
      <c r="B182" s="46"/>
      <c r="C182" s="46"/>
      <c r="K182" s="183">
        <f>+DATE(K183,12,31)</f>
        <v>46387</v>
      </c>
      <c r="L182" s="183">
        <f t="shared" ref="L182:U182" si="52">+DATE(L183,12,31)</f>
        <v>46752</v>
      </c>
      <c r="M182" s="183">
        <f t="shared" si="52"/>
        <v>47118</v>
      </c>
      <c r="N182" s="183">
        <f t="shared" si="52"/>
        <v>47483</v>
      </c>
      <c r="O182" s="183">
        <f t="shared" si="52"/>
        <v>47848</v>
      </c>
      <c r="P182" s="183">
        <f t="shared" si="52"/>
        <v>48213</v>
      </c>
      <c r="Q182" s="183">
        <f t="shared" si="52"/>
        <v>48579</v>
      </c>
      <c r="R182" s="183">
        <f t="shared" si="52"/>
        <v>48944</v>
      </c>
      <c r="S182" s="183">
        <f t="shared" si="52"/>
        <v>49309</v>
      </c>
      <c r="T182" s="183">
        <f t="shared" si="52"/>
        <v>49674</v>
      </c>
      <c r="U182" s="183">
        <f t="shared" si="52"/>
        <v>50040</v>
      </c>
      <c r="W182" s="46"/>
      <c r="X182" s="125"/>
    </row>
    <row r="183" spans="1:24" ht="22.5" customHeight="1" x14ac:dyDescent="0.4">
      <c r="B183" s="114" t="s">
        <v>142</v>
      </c>
      <c r="C183" s="169">
        <f>+C60</f>
        <v>47119</v>
      </c>
      <c r="F183" s="168" t="s">
        <v>148</v>
      </c>
      <c r="G183" s="165"/>
      <c r="H183" s="166"/>
      <c r="I183" s="167"/>
      <c r="J183" s="165"/>
      <c r="K183" s="130">
        <v>2026</v>
      </c>
      <c r="L183" s="130">
        <v>2027</v>
      </c>
      <c r="M183" s="130">
        <v>2028</v>
      </c>
      <c r="N183" s="130">
        <v>2029</v>
      </c>
      <c r="O183" s="130">
        <v>2030</v>
      </c>
      <c r="P183" s="130">
        <v>2031</v>
      </c>
      <c r="Q183" s="130">
        <v>2032</v>
      </c>
      <c r="R183" s="130">
        <v>2033</v>
      </c>
      <c r="S183" s="130">
        <v>2034</v>
      </c>
      <c r="T183" s="130">
        <v>2035</v>
      </c>
      <c r="U183" s="130">
        <v>2036</v>
      </c>
      <c r="W183" s="46"/>
      <c r="X183" s="125"/>
    </row>
    <row r="184" spans="1:24" ht="18" customHeight="1" x14ac:dyDescent="0.4">
      <c r="B184" s="114" t="s">
        <v>232</v>
      </c>
      <c r="C184" s="169">
        <f>+FORM!C12</f>
        <v>46753</v>
      </c>
      <c r="F184" s="58" t="s">
        <v>149</v>
      </c>
      <c r="K184" s="194">
        <v>1</v>
      </c>
      <c r="L184" s="194">
        <v>2</v>
      </c>
      <c r="M184" s="194">
        <v>3</v>
      </c>
      <c r="N184" s="194">
        <v>4</v>
      </c>
      <c r="O184" s="194">
        <v>5</v>
      </c>
      <c r="P184" s="194">
        <v>6</v>
      </c>
      <c r="Q184" s="194">
        <v>7</v>
      </c>
      <c r="R184" s="194">
        <v>8</v>
      </c>
      <c r="S184" s="194">
        <v>9</v>
      </c>
      <c r="T184" s="194">
        <v>10</v>
      </c>
      <c r="U184" s="194">
        <v>11</v>
      </c>
      <c r="W184" s="46"/>
      <c r="X184" s="125"/>
    </row>
    <row r="185" spans="1:24" ht="18" customHeight="1" x14ac:dyDescent="0.4">
      <c r="B185" s="114" t="s">
        <v>143</v>
      </c>
      <c r="C185" s="62">
        <f>+YEAR(C184)</f>
        <v>2028</v>
      </c>
      <c r="F185" s="171"/>
      <c r="W185" s="46"/>
      <c r="X185" s="125"/>
    </row>
    <row r="186" spans="1:24" ht="18" customHeight="1" x14ac:dyDescent="0.4">
      <c r="B186" s="114" t="s">
        <v>241</v>
      </c>
      <c r="C186" s="41">
        <f>+IF(FORM!C11="Yes",Projections!C187,0)</f>
        <v>0.55000000000000004</v>
      </c>
      <c r="F186" s="58" t="s">
        <v>152</v>
      </c>
      <c r="K186" s="172">
        <f>-_xlfn.IFS(K$183&lt;$C$185,0,K$183=$C$185,SUM($K15:K$15,SUM(K$22:K$24))*$C$186,K$183&gt;$C$185,SUM(K$15,SUM(K$22:K$24))*$C$186)</f>
        <v>0</v>
      </c>
      <c r="L186" s="172">
        <f>-_xlfn.IFS(L$183&lt;$C$185,0,L$183=$C$185,SUM($K15:L$15,SUM(L$22:L$24))*$C$186,L$183&gt;$C$185,SUM(L$15,SUM(L$22:L$24))*$C$186)</f>
        <v>0</v>
      </c>
      <c r="M186" s="172">
        <f>-_xlfn.IFS(M$183&lt;$C$185,0,M$183=$C$185,SUM($K15:M$15,SUM(M$22:M$24))*$C$186,M$183&gt;$C$185,SUM(M$15,SUM(M$22:M$24))*$C$186)</f>
        <v>1634888.174354875</v>
      </c>
      <c r="N186" s="172">
        <f>-_xlfn.IFS(N$183&lt;$C$185,0,N$183=$C$185,SUM($K15:N$15,SUM(N$22:N$24))*$C$186,N$183&gt;$C$185,SUM(N$15,SUM(N$22:N$24))*$C$186)</f>
        <v>0</v>
      </c>
      <c r="O186" s="172">
        <f>-_xlfn.IFS(O$183&lt;$C$185,0,O$183=$C$185,SUM($K15:O$15,SUM(O$22:O$24))*$C$186,O$183&gt;$C$185,SUM(O$15,SUM(O$22:O$24))*$C$186)</f>
        <v>0</v>
      </c>
      <c r="P186" s="172">
        <f>-_xlfn.IFS(P$183&lt;$C$185,0,P$183=$C$185,SUM($K15:P$15,SUM(P$22:P$24))*$C$186,P$183&gt;$C$185,SUM(P$15,SUM(P$22:P$24))*$C$186)</f>
        <v>0</v>
      </c>
      <c r="Q186" s="172">
        <f>-_xlfn.IFS(Q$183&lt;$C$185,0,Q$183=$C$185,SUM($K15:Q$15,SUM(Q$22:Q$24))*$C$186,Q$183&gt;$C$185,SUM(Q$15,SUM(Q$22:Q$24))*$C$186)</f>
        <v>0</v>
      </c>
      <c r="R186" s="172">
        <f>-_xlfn.IFS(R$183&lt;$C$185,0,R$183=$C$185,SUM($K15:R$15,SUM(R$22:R$24))*$C$186,R$183&gt;$C$185,SUM(R$15,SUM(R$22:R$24))*$C$186)</f>
        <v>0</v>
      </c>
      <c r="S186" s="172">
        <f>-_xlfn.IFS(S$183&lt;$C$185,0,S$183=$C$185,SUM($K15:S$15,SUM(S$22:S$24))*$C$186,S$183&gt;$C$185,SUM(S$15,SUM(S$22:S$24))*$C$186)</f>
        <v>0</v>
      </c>
      <c r="T186" s="172">
        <f>-_xlfn.IFS(T$183&lt;$C$185,0,T$183=$C$185,SUM($K15:T$15,SUM(T$22:T$24))*$C$186,T$183&gt;$C$185,SUM(T$15,SUM(T$22:T$24))*$C$186)</f>
        <v>0</v>
      </c>
      <c r="U186" s="172">
        <f>-_xlfn.IFS(U$183&lt;$C$185,0,U$183=$C$185,SUM($K15:U$15,SUM(U$22:U$24))*$C$186,U$183&gt;$C$185,SUM(U$15,SUM(U$22:U$24))*$C$186)</f>
        <v>0</v>
      </c>
      <c r="W186" s="46"/>
      <c r="X186" s="125"/>
    </row>
    <row r="187" spans="1:24" ht="18" customHeight="1" x14ac:dyDescent="0.4">
      <c r="B187" s="114" t="s">
        <v>144</v>
      </c>
      <c r="C187" s="39">
        <v>0.55000000000000004</v>
      </c>
      <c r="F187" s="58" t="s">
        <v>154</v>
      </c>
      <c r="K187" s="172">
        <f t="shared" ref="K187:U187" si="53">IF($C$192&lt;=(K183),0,IF(K194&lt;0,0,(J188+K186)))</f>
        <v>0</v>
      </c>
      <c r="L187" s="172">
        <f t="shared" si="53"/>
        <v>0</v>
      </c>
      <c r="M187" s="172">
        <f t="shared" si="53"/>
        <v>1634888.174354875</v>
      </c>
      <c r="N187" s="172">
        <f t="shared" si="53"/>
        <v>1634888.174354875</v>
      </c>
      <c r="O187" s="172">
        <f t="shared" si="53"/>
        <v>0</v>
      </c>
      <c r="P187" s="172">
        <f t="shared" si="53"/>
        <v>0</v>
      </c>
      <c r="Q187" s="172">
        <f t="shared" si="53"/>
        <v>0</v>
      </c>
      <c r="R187" s="172">
        <f t="shared" si="53"/>
        <v>0</v>
      </c>
      <c r="S187" s="172">
        <f t="shared" si="53"/>
        <v>0</v>
      </c>
      <c r="T187" s="172">
        <f t="shared" si="53"/>
        <v>0</v>
      </c>
      <c r="U187" s="172">
        <f t="shared" si="53"/>
        <v>0</v>
      </c>
      <c r="W187" s="46"/>
      <c r="X187" s="125"/>
    </row>
    <row r="188" spans="1:24" ht="18" customHeight="1" x14ac:dyDescent="0.4">
      <c r="B188" s="114" t="s">
        <v>145</v>
      </c>
      <c r="C188" s="62">
        <v>0</v>
      </c>
      <c r="F188" s="58" t="s">
        <v>155</v>
      </c>
      <c r="K188" s="172">
        <f t="shared" ref="K188:U188" si="54">IF(K26&lt;0,K187,IF(J188&gt;0,(J188+J189+K194+K186),0))</f>
        <v>0</v>
      </c>
      <c r="L188" s="172">
        <f t="shared" si="54"/>
        <v>0</v>
      </c>
      <c r="M188" s="172">
        <f t="shared" si="54"/>
        <v>1634888.174354875</v>
      </c>
      <c r="N188" s="172">
        <f t="shared" si="54"/>
        <v>1550159.9813132265</v>
      </c>
      <c r="O188" s="172">
        <f t="shared" si="54"/>
        <v>1443998.9038022792</v>
      </c>
      <c r="P188" s="172">
        <f t="shared" si="54"/>
        <v>0</v>
      </c>
      <c r="Q188" s="172">
        <f t="shared" si="54"/>
        <v>0</v>
      </c>
      <c r="R188" s="172">
        <f t="shared" si="54"/>
        <v>0</v>
      </c>
      <c r="S188" s="172">
        <f t="shared" si="54"/>
        <v>0</v>
      </c>
      <c r="T188" s="172">
        <f t="shared" si="54"/>
        <v>0</v>
      </c>
      <c r="U188" s="172">
        <f t="shared" si="54"/>
        <v>0</v>
      </c>
      <c r="W188" s="46"/>
      <c r="X188" s="125"/>
    </row>
    <row r="189" spans="1:24" ht="18" customHeight="1" x14ac:dyDescent="0.4">
      <c r="B189" s="114" t="s">
        <v>146</v>
      </c>
      <c r="C189" s="170">
        <v>3.5000000000000003E-2</v>
      </c>
      <c r="F189" s="58" t="s">
        <v>156</v>
      </c>
      <c r="K189" s="172">
        <f t="shared" ref="K189:U189" si="55">+IF(K183&lt;$C$185+$C$188,0)+IF(K183=$C$185+$C$188,(PPMT($C$189,1,$C$191-$C$188,K188))*$C$193,0)+IF(K183&gt;$C$185+$C$188,(PPMT($C$189,1,$C$191-$C$188-J184,K188)),0)</f>
        <v>0</v>
      </c>
      <c r="L189" s="172">
        <f t="shared" si="55"/>
        <v>0</v>
      </c>
      <c r="M189" s="172">
        <f t="shared" si="55"/>
        <v>-84728.193041648396</v>
      </c>
      <c r="N189" s="172">
        <f t="shared" si="55"/>
        <v>-106161.07751094746</v>
      </c>
      <c r="O189" s="172">
        <f t="shared" si="55"/>
        <v>-109876.71522383062</v>
      </c>
      <c r="P189" s="172">
        <f t="shared" si="55"/>
        <v>0</v>
      </c>
      <c r="Q189" s="172">
        <f t="shared" si="55"/>
        <v>0</v>
      </c>
      <c r="R189" s="172">
        <f t="shared" si="55"/>
        <v>0</v>
      </c>
      <c r="S189" s="172">
        <f t="shared" si="55"/>
        <v>0</v>
      </c>
      <c r="T189" s="172">
        <f t="shared" si="55"/>
        <v>0</v>
      </c>
      <c r="U189" s="172">
        <f t="shared" si="55"/>
        <v>0</v>
      </c>
      <c r="W189" s="46"/>
      <c r="X189" s="125"/>
    </row>
    <row r="190" spans="1:24" ht="18" customHeight="1" x14ac:dyDescent="0.4">
      <c r="B190" s="114" t="s">
        <v>147</v>
      </c>
      <c r="C190" s="170">
        <v>0.03</v>
      </c>
      <c r="F190" s="58" t="s">
        <v>157</v>
      </c>
      <c r="K190" s="172">
        <f>-IF(K183=C185,SUM($K$186:$T$186)*$C$190,0)</f>
        <v>0</v>
      </c>
      <c r="L190" s="172">
        <f t="shared" ref="L190:U190" si="56">-IF(L183=D183,SUM($K$186:$T$186)*$C$190,0)</f>
        <v>0</v>
      </c>
      <c r="M190" s="172">
        <f t="shared" si="56"/>
        <v>0</v>
      </c>
      <c r="N190" s="172">
        <f t="shared" si="56"/>
        <v>0</v>
      </c>
      <c r="O190" s="172">
        <f t="shared" si="56"/>
        <v>0</v>
      </c>
      <c r="P190" s="172">
        <f t="shared" si="56"/>
        <v>0</v>
      </c>
      <c r="Q190" s="172">
        <f t="shared" si="56"/>
        <v>0</v>
      </c>
      <c r="R190" s="172">
        <f t="shared" si="56"/>
        <v>0</v>
      </c>
      <c r="S190" s="172">
        <f t="shared" si="56"/>
        <v>0</v>
      </c>
      <c r="T190" s="172">
        <f t="shared" si="56"/>
        <v>0</v>
      </c>
      <c r="U190" s="172">
        <f t="shared" si="56"/>
        <v>0</v>
      </c>
      <c r="W190" s="46"/>
      <c r="X190" s="125"/>
    </row>
    <row r="191" spans="1:24" ht="18" customHeight="1" x14ac:dyDescent="0.4">
      <c r="B191" s="114" t="s">
        <v>150</v>
      </c>
      <c r="C191" s="62">
        <v>15</v>
      </c>
      <c r="F191" s="58" t="s">
        <v>159</v>
      </c>
      <c r="K191" s="174">
        <f t="shared" ref="K191:U191" si="57">+IF(K183&lt;$C$185,0)+IF(K183=$C$185,-K188*$C$189*((_xlfn.DAYS(K182,$C$183))/365))+IF(AND($C$185&lt;K183,K183&lt;$C$192),-K188*$C$189)+IF(K183=$C$192,(-K188)*$C$189)</f>
        <v>0</v>
      </c>
      <c r="L191" s="174">
        <f t="shared" si="57"/>
        <v>0</v>
      </c>
      <c r="M191" s="174">
        <f t="shared" si="57"/>
        <v>156.77009891074147</v>
      </c>
      <c r="N191" s="174">
        <f t="shared" si="57"/>
        <v>-54255.599345962932</v>
      </c>
      <c r="O191" s="174">
        <f t="shared" si="57"/>
        <v>-50539.961633079773</v>
      </c>
      <c r="P191" s="174">
        <f t="shared" si="57"/>
        <v>0</v>
      </c>
      <c r="Q191" s="174">
        <f t="shared" si="57"/>
        <v>0</v>
      </c>
      <c r="R191" s="174">
        <f t="shared" si="57"/>
        <v>0</v>
      </c>
      <c r="S191" s="174">
        <f t="shared" si="57"/>
        <v>0</v>
      </c>
      <c r="T191" s="174">
        <f t="shared" si="57"/>
        <v>0</v>
      </c>
      <c r="U191" s="174">
        <f t="shared" si="57"/>
        <v>0</v>
      </c>
      <c r="W191" s="46"/>
      <c r="X191" s="125"/>
    </row>
    <row r="192" spans="1:24" ht="18" customHeight="1" x14ac:dyDescent="0.4">
      <c r="B192" s="114" t="s">
        <v>151</v>
      </c>
      <c r="C192" s="62">
        <f>+FORM!C19</f>
        <v>2030</v>
      </c>
      <c r="F192" s="175" t="s">
        <v>161</v>
      </c>
      <c r="K192" s="176">
        <f>+SUM(K189:K191)</f>
        <v>0</v>
      </c>
      <c r="L192" s="176">
        <f>+SUM(L189:L191)</f>
        <v>0</v>
      </c>
      <c r="M192" s="176">
        <f t="shared" ref="M192:U192" si="58">+SUM(M189:M191)</f>
        <v>-84571.422942737656</v>
      </c>
      <c r="N192" s="176">
        <f t="shared" si="58"/>
        <v>-160416.6768569104</v>
      </c>
      <c r="O192" s="176">
        <f t="shared" si="58"/>
        <v>-160416.6768569104</v>
      </c>
      <c r="P192" s="176">
        <f t="shared" si="58"/>
        <v>0</v>
      </c>
      <c r="Q192" s="176">
        <f t="shared" si="58"/>
        <v>0</v>
      </c>
      <c r="R192" s="176">
        <f t="shared" si="58"/>
        <v>0</v>
      </c>
      <c r="S192" s="176">
        <f t="shared" si="58"/>
        <v>0</v>
      </c>
      <c r="T192" s="176">
        <f t="shared" si="58"/>
        <v>0</v>
      </c>
      <c r="U192" s="177">
        <f t="shared" si="58"/>
        <v>0</v>
      </c>
      <c r="W192" s="46"/>
      <c r="X192" s="125"/>
    </row>
    <row r="193" spans="2:24" ht="18" customHeight="1" x14ac:dyDescent="0.4">
      <c r="B193" s="114" t="s">
        <v>153</v>
      </c>
      <c r="C193" s="173">
        <v>1</v>
      </c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W193" s="46"/>
      <c r="X193" s="125"/>
    </row>
    <row r="194" spans="2:24" ht="18" customHeight="1" x14ac:dyDescent="0.4">
      <c r="F194" s="58" t="s">
        <v>162</v>
      </c>
      <c r="K194" s="172">
        <f t="shared" ref="K194:U194" si="59">IF(K183=($C$192+1),(-J188-J189),0)</f>
        <v>0</v>
      </c>
      <c r="L194" s="172">
        <f t="shared" si="59"/>
        <v>0</v>
      </c>
      <c r="M194" s="172">
        <f t="shared" si="59"/>
        <v>0</v>
      </c>
      <c r="N194" s="172">
        <f t="shared" si="59"/>
        <v>0</v>
      </c>
      <c r="O194" s="172">
        <f t="shared" si="59"/>
        <v>0</v>
      </c>
      <c r="P194" s="172">
        <f t="shared" si="59"/>
        <v>-1334122.1885784485</v>
      </c>
      <c r="Q194" s="172">
        <f t="shared" si="59"/>
        <v>0</v>
      </c>
      <c r="R194" s="172">
        <f t="shared" si="59"/>
        <v>0</v>
      </c>
      <c r="S194" s="172">
        <f t="shared" si="59"/>
        <v>0</v>
      </c>
      <c r="T194" s="172">
        <f t="shared" si="59"/>
        <v>0</v>
      </c>
      <c r="U194" s="172">
        <f t="shared" si="59"/>
        <v>0</v>
      </c>
      <c r="W194" s="46"/>
      <c r="X194" s="125"/>
    </row>
    <row r="195" spans="2:24" ht="18" customHeight="1" thickBot="1" x14ac:dyDescent="0.45">
      <c r="F195" s="179" t="s">
        <v>163</v>
      </c>
      <c r="K195" s="180">
        <f t="shared" ref="K195:T195" si="60">IF(K183&lt;=$C$192,+K106+K186+K192+L194,0)</f>
        <v>-423250</v>
      </c>
      <c r="L195" s="180">
        <f t="shared" si="60"/>
        <v>0</v>
      </c>
      <c r="M195" s="180">
        <f t="shared" si="60"/>
        <v>-1047207.2019603626</v>
      </c>
      <c r="N195" s="180">
        <f t="shared" si="60"/>
        <v>23414.338025429606</v>
      </c>
      <c r="O195" s="180">
        <f t="shared" si="60"/>
        <v>2692989.0436974876</v>
      </c>
      <c r="P195" s="180">
        <f t="shared" si="60"/>
        <v>0</v>
      </c>
      <c r="Q195" s="180">
        <f t="shared" si="60"/>
        <v>0</v>
      </c>
      <c r="R195" s="180">
        <f t="shared" si="60"/>
        <v>0</v>
      </c>
      <c r="S195" s="180">
        <f t="shared" si="60"/>
        <v>0</v>
      </c>
      <c r="T195" s="180">
        <f t="shared" si="60"/>
        <v>0</v>
      </c>
      <c r="U195" s="180">
        <f>+U104+U186+U192+U26</f>
        <v>0</v>
      </c>
      <c r="W195" s="46"/>
      <c r="X195" s="125"/>
    </row>
    <row r="196" spans="2:24" x14ac:dyDescent="0.4">
      <c r="B196" s="113" t="s">
        <v>158</v>
      </c>
      <c r="C196" s="170">
        <v>5.5E-2</v>
      </c>
      <c r="K196" s="204"/>
      <c r="W196" s="46"/>
      <c r="X196" s="125"/>
    </row>
    <row r="197" spans="2:24" x14ac:dyDescent="0.4">
      <c r="B197" s="113" t="s">
        <v>160</v>
      </c>
      <c r="C197" s="62">
        <v>12</v>
      </c>
      <c r="V197" s="193"/>
      <c r="W197" s="46"/>
      <c r="X197" s="125"/>
    </row>
    <row r="198" spans="2:24" x14ac:dyDescent="0.4">
      <c r="W198" s="46"/>
      <c r="X198" s="125"/>
    </row>
    <row r="199" spans="2:24" x14ac:dyDescent="0.4">
      <c r="H199" s="138"/>
      <c r="I199" s="141"/>
      <c r="J199" s="141"/>
      <c r="K199" s="141"/>
      <c r="L199" s="141"/>
      <c r="M199" s="141"/>
      <c r="N199" s="141"/>
      <c r="W199" s="46"/>
      <c r="X199" s="125"/>
    </row>
    <row r="200" spans="2:24" ht="18.75" customHeight="1" x14ac:dyDescent="0.5">
      <c r="F200" s="59" t="s">
        <v>290</v>
      </c>
      <c r="K200" s="195">
        <f>+XIRR(K195:T195,K182:T182)</f>
        <v>0.25874651074409483</v>
      </c>
      <c r="W200" s="46"/>
      <c r="X200" s="125"/>
    </row>
    <row r="201" spans="2:24" x14ac:dyDescent="0.4">
      <c r="N201" s="204"/>
      <c r="O201" s="204"/>
      <c r="P201" s="204"/>
      <c r="Q201" s="204"/>
      <c r="W201" s="46"/>
      <c r="X201" s="125"/>
    </row>
    <row r="202" spans="2:24" x14ac:dyDescent="0.4">
      <c r="W202" s="46"/>
      <c r="X202" s="125"/>
    </row>
    <row r="203" spans="2:24" ht="18.75" customHeight="1" x14ac:dyDescent="0.5">
      <c r="F203" s="59" t="s">
        <v>164</v>
      </c>
      <c r="K203" s="196">
        <f>+SUM(K195:T195)</f>
        <v>1245946.1797625546</v>
      </c>
      <c r="W203" s="46"/>
      <c r="X203" s="125"/>
    </row>
    <row r="204" spans="2:24" x14ac:dyDescent="0.4">
      <c r="W204" s="46"/>
      <c r="X204" s="125"/>
    </row>
    <row r="205" spans="2:24" x14ac:dyDescent="0.4">
      <c r="W205" s="46"/>
      <c r="X205" s="125"/>
    </row>
    <row r="206" spans="2:24" ht="18.75" customHeight="1" x14ac:dyDescent="0.5">
      <c r="F206" s="59" t="s">
        <v>165</v>
      </c>
      <c r="K206" s="197">
        <f>-K203/SUMIF(K195:T195,"&lt;0",K195:T195)</f>
        <v>0.84731890061234183</v>
      </c>
      <c r="L206" s="204"/>
      <c r="M206" s="204"/>
      <c r="N206" s="204"/>
      <c r="W206" s="46"/>
      <c r="X206" s="125"/>
    </row>
    <row r="207" spans="2:24" x14ac:dyDescent="0.4">
      <c r="W207" s="46"/>
      <c r="X207" s="125"/>
    </row>
    <row r="208" spans="2:24" x14ac:dyDescent="0.4">
      <c r="W208" s="46"/>
      <c r="X208" s="125"/>
    </row>
    <row r="209" spans="6:24" ht="18.5" x14ac:dyDescent="0.5">
      <c r="F209" s="59" t="s">
        <v>280</v>
      </c>
      <c r="K209" s="230">
        <f>+SUMIF(K195:T195,"&lt;0",K195:T195)</f>
        <v>-1470457.2019603625</v>
      </c>
      <c r="W209" s="46"/>
      <c r="X209" s="125"/>
    </row>
  </sheetData>
  <mergeCells count="1">
    <mergeCell ref="F46:G4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430F-978F-49BA-8BE8-97E94D3B9532}">
  <dimension ref="A1:F23"/>
  <sheetViews>
    <sheetView workbookViewId="0">
      <selection activeCell="D23" sqref="D23"/>
    </sheetView>
  </sheetViews>
  <sheetFormatPr defaultColWidth="8.7265625" defaultRowHeight="14" x14ac:dyDescent="0.3"/>
  <cols>
    <col min="1" max="1" width="29.81640625" style="223" bestFit="1" customWidth="1"/>
    <col min="2" max="2" width="32.26953125" style="223" bestFit="1" customWidth="1"/>
    <col min="3" max="3" width="29" style="223" bestFit="1" customWidth="1"/>
    <col min="4" max="4" width="29.54296875" style="223" bestFit="1" customWidth="1"/>
    <col min="5" max="5" width="22.7265625" style="223" bestFit="1" customWidth="1"/>
    <col min="6" max="6" width="40.26953125" style="223" bestFit="1" customWidth="1"/>
    <col min="7" max="16384" width="8.7265625" style="223"/>
  </cols>
  <sheetData>
    <row r="1" spans="1:6" x14ac:dyDescent="0.3">
      <c r="A1" s="224" t="s">
        <v>262</v>
      </c>
      <c r="B1" s="224" t="s">
        <v>261</v>
      </c>
      <c r="C1" s="224" t="s">
        <v>260</v>
      </c>
      <c r="D1" s="224" t="s">
        <v>259</v>
      </c>
      <c r="E1" s="224" t="s">
        <v>258</v>
      </c>
      <c r="F1" s="224" t="s">
        <v>257</v>
      </c>
    </row>
    <row r="2" spans="1:6" x14ac:dyDescent="0.3">
      <c r="A2" s="223" t="s">
        <v>256</v>
      </c>
      <c r="B2" s="223">
        <v>1069.1199999999999</v>
      </c>
      <c r="C2" s="223">
        <v>855.29599999999994</v>
      </c>
      <c r="D2" s="223">
        <v>1603.68</v>
      </c>
      <c r="E2" s="223">
        <v>1282.944</v>
      </c>
      <c r="F2" s="228">
        <v>1443.3119999999999</v>
      </c>
    </row>
    <row r="3" spans="1:6" x14ac:dyDescent="0.3">
      <c r="A3" s="223" t="s">
        <v>255</v>
      </c>
      <c r="B3" s="223">
        <v>1299.3900000000001</v>
      </c>
      <c r="C3" s="223">
        <v>1039.5119999999999</v>
      </c>
      <c r="D3" s="223">
        <v>1949.085</v>
      </c>
      <c r="E3" s="223">
        <v>1559.268</v>
      </c>
      <c r="F3" s="228">
        <v>1754.1765</v>
      </c>
    </row>
    <row r="4" spans="1:6" x14ac:dyDescent="0.3">
      <c r="A4" s="223" t="s">
        <v>254</v>
      </c>
      <c r="B4" s="223">
        <v>924.17</v>
      </c>
      <c r="C4" s="223">
        <v>739.33600000000001</v>
      </c>
      <c r="D4" s="223">
        <v>1386.2550000000001</v>
      </c>
      <c r="E4" s="223">
        <v>1109.0039999999999</v>
      </c>
      <c r="F4" s="228">
        <v>1247.6295</v>
      </c>
    </row>
    <row r="5" spans="1:6" x14ac:dyDescent="0.3">
      <c r="A5" s="223" t="s">
        <v>253</v>
      </c>
      <c r="B5" s="223">
        <v>990.99</v>
      </c>
      <c r="C5" s="223">
        <v>792.79200000000003</v>
      </c>
      <c r="D5" s="223">
        <v>1486.4849999999999</v>
      </c>
      <c r="E5" s="223">
        <v>1189.1880000000001</v>
      </c>
      <c r="F5" s="228">
        <v>1337.8364999999999</v>
      </c>
    </row>
    <row r="6" spans="1:6" x14ac:dyDescent="0.3">
      <c r="A6" s="223" t="s">
        <v>252</v>
      </c>
      <c r="B6" s="223">
        <v>2379.8200000000002</v>
      </c>
      <c r="C6" s="223">
        <v>1903.856</v>
      </c>
      <c r="D6" s="223">
        <v>3569.73</v>
      </c>
      <c r="E6" s="223">
        <v>2855.7840000000001</v>
      </c>
      <c r="F6" s="228">
        <v>3212.757000000001</v>
      </c>
    </row>
    <row r="7" spans="1:6" x14ac:dyDescent="0.3">
      <c r="A7" s="223" t="s">
        <v>251</v>
      </c>
      <c r="B7" s="223">
        <v>1975.82</v>
      </c>
      <c r="C7" s="223">
        <v>1580.6559999999999</v>
      </c>
      <c r="D7" s="223">
        <v>2963.73</v>
      </c>
      <c r="E7" s="223">
        <v>2370.9839999999999</v>
      </c>
      <c r="F7" s="228">
        <v>2667.357</v>
      </c>
    </row>
    <row r="8" spans="1:6" x14ac:dyDescent="0.3">
      <c r="A8" s="223" t="s">
        <v>250</v>
      </c>
      <c r="B8" s="223">
        <v>1570.78</v>
      </c>
      <c r="C8" s="223">
        <v>1256.624</v>
      </c>
      <c r="D8" s="223">
        <v>2356.17</v>
      </c>
      <c r="E8" s="223">
        <v>1884.9359999999999</v>
      </c>
      <c r="F8" s="228">
        <v>2120.5529999999999</v>
      </c>
    </row>
    <row r="9" spans="1:6" x14ac:dyDescent="0.3">
      <c r="A9" s="223" t="s">
        <v>249</v>
      </c>
      <c r="B9" s="223">
        <v>1428.92</v>
      </c>
      <c r="C9" s="223">
        <v>1143.136</v>
      </c>
      <c r="D9" s="223">
        <v>2143.38</v>
      </c>
      <c r="E9" s="223">
        <v>1714.704</v>
      </c>
      <c r="F9" s="228">
        <v>1929.0419999999999</v>
      </c>
    </row>
    <row r="10" spans="1:6" x14ac:dyDescent="0.3">
      <c r="A10" s="223" t="s">
        <v>248</v>
      </c>
      <c r="B10" s="223">
        <v>1287.06</v>
      </c>
      <c r="C10" s="223">
        <v>1029.6479999999999</v>
      </c>
      <c r="D10" s="223">
        <v>1930.59</v>
      </c>
      <c r="E10" s="223">
        <v>1544.472</v>
      </c>
      <c r="F10" s="228">
        <v>1737.5309999999999</v>
      </c>
    </row>
    <row r="11" spans="1:6" x14ac:dyDescent="0.3">
      <c r="A11" s="223" t="s">
        <v>247</v>
      </c>
      <c r="B11" s="223">
        <v>1092.76</v>
      </c>
      <c r="C11" s="223">
        <v>874.20800000000008</v>
      </c>
      <c r="D11" s="223">
        <v>1639.14</v>
      </c>
      <c r="E11" s="223">
        <v>1311.3119999999999</v>
      </c>
      <c r="F11" s="228">
        <v>1475.2260000000001</v>
      </c>
    </row>
    <row r="12" spans="1:6" x14ac:dyDescent="0.3">
      <c r="A12" s="223" t="s">
        <v>246</v>
      </c>
      <c r="B12" s="223">
        <v>1135.94</v>
      </c>
      <c r="C12" s="223">
        <v>908.75200000000007</v>
      </c>
      <c r="D12" s="223">
        <v>1703.91</v>
      </c>
      <c r="E12" s="223">
        <v>1363.1279999999999</v>
      </c>
      <c r="F12" s="228">
        <v>1533.519</v>
      </c>
    </row>
    <row r="13" spans="1:6" x14ac:dyDescent="0.3">
      <c r="A13" s="223" t="s">
        <v>245</v>
      </c>
      <c r="B13" s="223">
        <v>1298.3599999999999</v>
      </c>
      <c r="C13" s="223">
        <v>1038.6880000000001</v>
      </c>
      <c r="D13" s="223">
        <v>1947.54</v>
      </c>
      <c r="E13" s="223">
        <v>1558.0319999999999</v>
      </c>
      <c r="F13" s="228">
        <v>1752.7860000000001</v>
      </c>
    </row>
    <row r="14" spans="1:6" x14ac:dyDescent="0.3">
      <c r="A14" s="223" t="s">
        <v>244</v>
      </c>
      <c r="B14" s="223">
        <v>1428.92</v>
      </c>
      <c r="C14" s="223">
        <v>1143.136</v>
      </c>
      <c r="D14" s="223">
        <v>2143.38</v>
      </c>
      <c r="E14" s="223">
        <v>1714.704</v>
      </c>
      <c r="F14" s="228">
        <v>1929.0419999999999</v>
      </c>
    </row>
    <row r="17" spans="1:2" x14ac:dyDescent="0.3">
      <c r="A17" s="225" t="s">
        <v>180</v>
      </c>
      <c r="B17" s="225" t="s">
        <v>181</v>
      </c>
    </row>
    <row r="18" spans="1:2" x14ac:dyDescent="0.3">
      <c r="A18" s="227" t="s">
        <v>263</v>
      </c>
      <c r="B18" s="227" t="s">
        <v>264</v>
      </c>
    </row>
    <row r="19" spans="1:2" x14ac:dyDescent="0.3">
      <c r="A19" s="226" t="s">
        <v>222</v>
      </c>
      <c r="B19" s="226" t="s">
        <v>247</v>
      </c>
    </row>
    <row r="20" spans="1:2" x14ac:dyDescent="0.3">
      <c r="A20" s="226" t="s">
        <v>223</v>
      </c>
      <c r="B20" s="226" t="s">
        <v>254</v>
      </c>
    </row>
    <row r="21" spans="1:2" x14ac:dyDescent="0.3">
      <c r="A21" s="226" t="s">
        <v>266</v>
      </c>
      <c r="B21" s="226" t="s">
        <v>250</v>
      </c>
    </row>
    <row r="22" spans="1:2" x14ac:dyDescent="0.3">
      <c r="A22" s="226" t="s">
        <v>265</v>
      </c>
      <c r="B22" s="223" t="s">
        <v>251</v>
      </c>
    </row>
    <row r="23" spans="1:2" x14ac:dyDescent="0.3">
      <c r="A23" s="226" t="s">
        <v>243</v>
      </c>
      <c r="B23" s="226" t="s">
        <v>252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3EC1-036D-4959-82B9-680D07DEFE76}">
  <dimension ref="A2:AC66"/>
  <sheetViews>
    <sheetView workbookViewId="0"/>
  </sheetViews>
  <sheetFormatPr defaultColWidth="9.1796875" defaultRowHeight="15" x14ac:dyDescent="0.4"/>
  <cols>
    <col min="1" max="1" width="8.7265625" customWidth="1"/>
    <col min="2" max="2" width="15.7265625" customWidth="1"/>
    <col min="3" max="3" width="9.453125" customWidth="1"/>
    <col min="4" max="4" width="2.54296875" customWidth="1"/>
    <col min="5" max="5" width="9.81640625" style="69" customWidth="1"/>
    <col min="6" max="6" width="41.1796875" style="46" customWidth="1"/>
    <col min="7" max="7" width="2" style="46" customWidth="1"/>
    <col min="8" max="8" width="9.81640625" style="46" bestFit="1" customWidth="1"/>
    <col min="9" max="9" width="11.7265625" style="46" customWidth="1"/>
    <col min="10" max="10" width="2" style="46" customWidth="1"/>
    <col min="11" max="20" width="12.453125" style="46" customWidth="1"/>
    <col min="21" max="21" width="2" style="46" customWidth="1"/>
    <col min="22" max="22" width="9.7265625" style="46" customWidth="1"/>
    <col min="23" max="23" width="16.7265625" style="69" customWidth="1"/>
    <col min="24" max="16384" width="9.1796875" style="46"/>
  </cols>
  <sheetData>
    <row r="2" spans="1:29" customFormat="1" ht="13" hidden="1" x14ac:dyDescent="0.3">
      <c r="E2" s="70"/>
      <c r="H2" s="150" t="s">
        <v>138</v>
      </c>
      <c r="I2" s="149"/>
      <c r="J2" s="149"/>
      <c r="K2" s="149">
        <v>12</v>
      </c>
      <c r="L2" s="149">
        <v>12</v>
      </c>
      <c r="M2" s="149">
        <v>12</v>
      </c>
      <c r="N2" s="149">
        <v>12</v>
      </c>
      <c r="O2" s="149">
        <v>12</v>
      </c>
      <c r="P2" s="149">
        <v>12</v>
      </c>
      <c r="Q2" s="149">
        <v>12</v>
      </c>
      <c r="R2" s="149">
        <v>12</v>
      </c>
      <c r="S2" s="149">
        <v>12</v>
      </c>
      <c r="T2" s="149">
        <v>12</v>
      </c>
      <c r="W2" s="70"/>
    </row>
    <row r="3" spans="1:29" customFormat="1" ht="12.5" x14ac:dyDescent="0.25">
      <c r="E3" s="70"/>
      <c r="L3" s="41"/>
      <c r="W3" s="70"/>
    </row>
    <row r="4" spans="1:29" customFormat="1" ht="12.5" x14ac:dyDescent="0.25">
      <c r="E4" s="70"/>
      <c r="F4" s="38" t="s">
        <v>42</v>
      </c>
      <c r="H4" s="146">
        <v>2.5000000000000001E-2</v>
      </c>
      <c r="I4" s="128"/>
      <c r="K4" s="44"/>
      <c r="W4" s="70"/>
    </row>
    <row r="5" spans="1:29" customFormat="1" ht="12.5" x14ac:dyDescent="0.25">
      <c r="E5" s="70"/>
      <c r="F5" s="38" t="s">
        <v>43</v>
      </c>
      <c r="H5" s="39">
        <v>0.02</v>
      </c>
      <c r="I5" s="128"/>
      <c r="W5" s="70"/>
    </row>
    <row r="6" spans="1:29" customFormat="1" ht="12.5" x14ac:dyDescent="0.25">
      <c r="E6" s="70"/>
      <c r="W6" s="70"/>
    </row>
    <row r="7" spans="1:29" s="45" customFormat="1" x14ac:dyDescent="0.4">
      <c r="A7" s="37"/>
      <c r="B7" s="37"/>
      <c r="C7" s="37"/>
      <c r="D7" s="37"/>
      <c r="E7" s="71"/>
      <c r="W7" s="71"/>
    </row>
    <row r="9" spans="1:29" ht="21.5" x14ac:dyDescent="0.6">
      <c r="F9" s="47"/>
      <c r="H9" s="48"/>
      <c r="I9" s="48"/>
      <c r="K9" s="130">
        <v>2026</v>
      </c>
      <c r="L9" s="130">
        <v>2027</v>
      </c>
      <c r="M9" s="130">
        <v>2028</v>
      </c>
      <c r="N9" s="130">
        <v>2029</v>
      </c>
      <c r="O9" s="130">
        <v>2030</v>
      </c>
      <c r="P9" s="130">
        <v>2031</v>
      </c>
      <c r="Q9" s="130">
        <v>2032</v>
      </c>
      <c r="R9" s="130">
        <v>2033</v>
      </c>
      <c r="S9" s="130">
        <v>2034</v>
      </c>
      <c r="T9" s="130">
        <v>2035</v>
      </c>
    </row>
    <row r="11" spans="1:29" s="91" customFormat="1" ht="18.5" x14ac:dyDescent="0.5">
      <c r="A11" s="88"/>
      <c r="B11" s="88"/>
      <c r="C11" s="128"/>
      <c r="D11" s="89"/>
      <c r="E11" s="90"/>
      <c r="F11" s="59" t="s">
        <v>50</v>
      </c>
      <c r="H11" s="92"/>
      <c r="I11" s="92"/>
      <c r="K11" s="104">
        <f>+Projections!K57</f>
        <v>0</v>
      </c>
      <c r="L11" s="104">
        <f>+Projections!L57</f>
        <v>0</v>
      </c>
      <c r="M11" s="104">
        <f>+Projections!M57</f>
        <v>0</v>
      </c>
      <c r="N11" s="104">
        <f>+Projections!N57</f>
        <v>0.8</v>
      </c>
      <c r="O11" s="104">
        <f>+Projections!O57</f>
        <v>0.85378082191780824</v>
      </c>
      <c r="P11" s="104">
        <f>+Projections!P57</f>
        <v>0.85378082191780824</v>
      </c>
      <c r="Q11" s="104">
        <f>+Projections!Q57</f>
        <v>0.85378082191780824</v>
      </c>
      <c r="R11" s="104">
        <f>+Projections!R57</f>
        <v>0.85378082191780824</v>
      </c>
      <c r="S11" s="104">
        <f>+Projections!S57</f>
        <v>0.85378082191780824</v>
      </c>
      <c r="T11" s="104">
        <f>+Projections!T57</f>
        <v>0.85378082191780824</v>
      </c>
      <c r="W11" s="99">
        <f>+AVERAGE(K11:T11)</f>
        <v>0.59226849315068486</v>
      </c>
    </row>
    <row r="12" spans="1:29" ht="18" customHeight="1" x14ac:dyDescent="0.45">
      <c r="F12" s="58" t="s">
        <v>34</v>
      </c>
      <c r="H12" s="49"/>
      <c r="I12" s="49"/>
      <c r="K12" s="105">
        <v>365</v>
      </c>
      <c r="L12" s="105">
        <v>365</v>
      </c>
      <c r="M12" s="105">
        <v>366</v>
      </c>
      <c r="N12" s="105">
        <v>365</v>
      </c>
      <c r="O12" s="105">
        <v>365</v>
      </c>
      <c r="P12" s="105">
        <v>365</v>
      </c>
      <c r="Q12" s="105">
        <v>366</v>
      </c>
      <c r="R12" s="105">
        <v>365</v>
      </c>
      <c r="S12" s="105">
        <v>365</v>
      </c>
      <c r="T12" s="105">
        <v>365</v>
      </c>
    </row>
    <row r="13" spans="1:29" ht="18" customHeight="1" x14ac:dyDescent="0.6">
      <c r="B13" s="144"/>
      <c r="C13" s="144"/>
      <c r="F13" s="58" t="s">
        <v>35</v>
      </c>
      <c r="H13" s="49"/>
      <c r="I13" s="49"/>
      <c r="K13" s="160">
        <f>+Projections!K64</f>
        <v>10</v>
      </c>
      <c r="L13" s="160">
        <f>+Projections!L64</f>
        <v>10</v>
      </c>
      <c r="M13" s="160">
        <f>+Projections!M64</f>
        <v>10</v>
      </c>
      <c r="N13" s="160">
        <f>+Projections!N64</f>
        <v>10</v>
      </c>
      <c r="O13" s="160">
        <f>+Projections!O64</f>
        <v>10</v>
      </c>
      <c r="P13" s="160">
        <f>+Projections!P64</f>
        <v>10</v>
      </c>
      <c r="Q13" s="160">
        <f>+Projections!Q64</f>
        <v>10</v>
      </c>
      <c r="R13" s="160">
        <f>+Projections!R64</f>
        <v>10</v>
      </c>
      <c r="S13" s="160">
        <f>+Projections!S64</f>
        <v>10</v>
      </c>
      <c r="T13" s="160">
        <f>+Projections!T64</f>
        <v>10</v>
      </c>
      <c r="AC13" s="50"/>
    </row>
    <row r="14" spans="1:29" s="91" customFormat="1" ht="18.5" x14ac:dyDescent="0.5">
      <c r="A14" s="88"/>
      <c r="B14" s="142"/>
      <c r="C14" s="163"/>
      <c r="D14" s="93"/>
      <c r="E14" s="90"/>
      <c r="F14" s="59" t="s">
        <v>36</v>
      </c>
      <c r="H14" s="94"/>
      <c r="I14" s="94"/>
      <c r="K14" s="106">
        <f>+Projections!K65</f>
        <v>155</v>
      </c>
      <c r="L14" s="106">
        <f>+Projections!L65</f>
        <v>159.65</v>
      </c>
      <c r="M14" s="106">
        <f>+Projections!M65</f>
        <v>164.43950000000001</v>
      </c>
      <c r="N14" s="106">
        <f>+Projections!N65</f>
        <v>169.37268500000002</v>
      </c>
      <c r="O14" s="106">
        <f>+Projections!O65</f>
        <v>174.45386555000002</v>
      </c>
      <c r="P14" s="106">
        <f>+Projections!P65</f>
        <v>179.68748151650001</v>
      </c>
      <c r="Q14" s="106">
        <f>+Projections!Q65</f>
        <v>185.07810596199502</v>
      </c>
      <c r="R14" s="106">
        <f>+Projections!R65</f>
        <v>190.63044914085486</v>
      </c>
      <c r="S14" s="106">
        <f>+Projections!S65</f>
        <v>196.34936261508051</v>
      </c>
      <c r="T14" s="106">
        <f>+Projections!T65</f>
        <v>202.23984349353293</v>
      </c>
      <c r="W14" s="98">
        <f>+AVERAGE(K14:T14)</f>
        <v>177.69012932779634</v>
      </c>
    </row>
    <row r="15" spans="1:29" s="91" customFormat="1" ht="18.5" x14ac:dyDescent="0.5">
      <c r="A15" s="88"/>
      <c r="B15" s="88"/>
      <c r="C15" s="88"/>
      <c r="D15" s="88"/>
      <c r="E15" s="90"/>
      <c r="F15" s="59" t="s">
        <v>37</v>
      </c>
      <c r="H15" s="115" t="s">
        <v>120</v>
      </c>
      <c r="K15" s="106">
        <f t="shared" ref="K15:T15" si="0">+SUM(K16:K19)</f>
        <v>0</v>
      </c>
      <c r="L15" s="106">
        <f t="shared" si="0"/>
        <v>0</v>
      </c>
      <c r="M15" s="106">
        <f t="shared" si="0"/>
        <v>0</v>
      </c>
      <c r="N15" s="106">
        <f t="shared" si="0"/>
        <v>519296.65221000009</v>
      </c>
      <c r="O15" s="106">
        <f t="shared" si="0"/>
        <v>570833.11027413828</v>
      </c>
      <c r="P15" s="106">
        <f t="shared" si="0"/>
        <v>587958.10358236241</v>
      </c>
      <c r="Q15" s="106">
        <f t="shared" si="0"/>
        <v>607256.01613281923</v>
      </c>
      <c r="R15" s="106">
        <f t="shared" si="0"/>
        <v>623764.75209052837</v>
      </c>
      <c r="S15" s="106">
        <f t="shared" si="0"/>
        <v>642477.69465324422</v>
      </c>
      <c r="T15" s="106">
        <f t="shared" si="0"/>
        <v>661752.02549284161</v>
      </c>
      <c r="W15" s="98">
        <f>+SUM(K15:T15)</f>
        <v>4213338.3544359347</v>
      </c>
    </row>
    <row r="16" spans="1:29" ht="18" customHeight="1" x14ac:dyDescent="0.4">
      <c r="F16" s="58" t="s">
        <v>99</v>
      </c>
      <c r="H16" s="61"/>
      <c r="I16" s="66"/>
      <c r="K16" s="109">
        <f>+K11*K12*K13*K14</f>
        <v>0</v>
      </c>
      <c r="L16" s="109">
        <f t="shared" ref="L16:T16" si="1">+L11*L12*L13*L14</f>
        <v>0</v>
      </c>
      <c r="M16" s="109">
        <f t="shared" si="1"/>
        <v>0</v>
      </c>
      <c r="N16" s="109">
        <f t="shared" si="1"/>
        <v>494568.24020000006</v>
      </c>
      <c r="O16" s="109">
        <f t="shared" si="1"/>
        <v>543650.58121346508</v>
      </c>
      <c r="P16" s="109">
        <f t="shared" si="1"/>
        <v>559960.09864986897</v>
      </c>
      <c r="Q16" s="109">
        <f t="shared" si="1"/>
        <v>578339.06298363733</v>
      </c>
      <c r="R16" s="109">
        <f t="shared" si="1"/>
        <v>594061.66865764605</v>
      </c>
      <c r="S16" s="109">
        <f t="shared" si="1"/>
        <v>611883.51871737547</v>
      </c>
      <c r="T16" s="109">
        <f t="shared" si="1"/>
        <v>630240.02427889674</v>
      </c>
    </row>
    <row r="17" spans="1:24" ht="18" customHeight="1" x14ac:dyDescent="0.4">
      <c r="F17" s="58" t="s">
        <v>137</v>
      </c>
      <c r="H17" s="78">
        <f>+Projections!C73</f>
        <v>0.05</v>
      </c>
      <c r="I17" s="66" t="s">
        <v>136</v>
      </c>
      <c r="K17" s="109">
        <f>+K11*K12*K13*K14*$H$17</f>
        <v>0</v>
      </c>
      <c r="L17" s="109">
        <f t="shared" ref="L17:T17" si="2">+L11*L12*L13*L14*$H$17</f>
        <v>0</v>
      </c>
      <c r="M17" s="109">
        <f t="shared" si="2"/>
        <v>0</v>
      </c>
      <c r="N17" s="109">
        <f t="shared" si="2"/>
        <v>24728.412010000004</v>
      </c>
      <c r="O17" s="109">
        <f t="shared" si="2"/>
        <v>27182.529060673256</v>
      </c>
      <c r="P17" s="109">
        <f t="shared" si="2"/>
        <v>27998.004932493452</v>
      </c>
      <c r="Q17" s="109">
        <f t="shared" si="2"/>
        <v>28916.953149181867</v>
      </c>
      <c r="R17" s="109">
        <f t="shared" si="2"/>
        <v>29703.083432882304</v>
      </c>
      <c r="S17" s="109">
        <f t="shared" si="2"/>
        <v>30594.175935868774</v>
      </c>
      <c r="T17" s="109">
        <f t="shared" si="2"/>
        <v>31512.001213944837</v>
      </c>
    </row>
    <row r="18" spans="1:24" ht="18" customHeight="1" x14ac:dyDescent="0.4">
      <c r="F18" s="58" t="s">
        <v>102</v>
      </c>
      <c r="H18" s="61">
        <v>0</v>
      </c>
      <c r="I18" s="66"/>
      <c r="K18" s="109">
        <f>+H18*12</f>
        <v>0</v>
      </c>
      <c r="L18" s="109">
        <f t="shared" ref="L18:T18" si="3">+K18*(1+SUM($H$4:$H$5))</f>
        <v>0</v>
      </c>
      <c r="M18" s="109">
        <f t="shared" si="3"/>
        <v>0</v>
      </c>
      <c r="N18" s="109">
        <f t="shared" si="3"/>
        <v>0</v>
      </c>
      <c r="O18" s="109">
        <f t="shared" si="3"/>
        <v>0</v>
      </c>
      <c r="P18" s="109">
        <f t="shared" si="3"/>
        <v>0</v>
      </c>
      <c r="Q18" s="109">
        <f t="shared" si="3"/>
        <v>0</v>
      </c>
      <c r="R18" s="109">
        <f t="shared" si="3"/>
        <v>0</v>
      </c>
      <c r="S18" s="109">
        <f t="shared" si="3"/>
        <v>0</v>
      </c>
      <c r="T18" s="109">
        <f t="shared" si="3"/>
        <v>0</v>
      </c>
    </row>
    <row r="19" spans="1:24" ht="18" customHeight="1" x14ac:dyDescent="0.4">
      <c r="F19" s="58" t="s">
        <v>121</v>
      </c>
      <c r="H19" s="61">
        <v>0</v>
      </c>
      <c r="I19" s="66"/>
      <c r="K19" s="109">
        <f>+H19*12</f>
        <v>0</v>
      </c>
      <c r="L19" s="109">
        <f t="shared" ref="L19:T19" si="4">+K19*(1+SUM($H$4:$H$5))</f>
        <v>0</v>
      </c>
      <c r="M19" s="109">
        <f t="shared" si="4"/>
        <v>0</v>
      </c>
      <c r="N19" s="109">
        <f t="shared" si="4"/>
        <v>0</v>
      </c>
      <c r="O19" s="109">
        <f t="shared" si="4"/>
        <v>0</v>
      </c>
      <c r="P19" s="109">
        <f t="shared" si="4"/>
        <v>0</v>
      </c>
      <c r="Q19" s="109">
        <f t="shared" si="4"/>
        <v>0</v>
      </c>
      <c r="R19" s="109">
        <f t="shared" si="4"/>
        <v>0</v>
      </c>
      <c r="S19" s="109">
        <f t="shared" si="4"/>
        <v>0</v>
      </c>
      <c r="T19" s="109">
        <f t="shared" si="4"/>
        <v>0</v>
      </c>
    </row>
    <row r="20" spans="1:24" x14ac:dyDescent="0.4">
      <c r="H20" s="45"/>
      <c r="K20" s="108"/>
      <c r="L20" s="108"/>
      <c r="M20" s="108"/>
      <c r="N20" s="108"/>
      <c r="O20" s="108"/>
      <c r="P20" s="108"/>
      <c r="Q20" s="108"/>
      <c r="R20" s="108"/>
      <c r="S20" s="108"/>
      <c r="T20" s="108"/>
    </row>
    <row r="21" spans="1:24" x14ac:dyDescent="0.4">
      <c r="K21" s="111"/>
      <c r="L21" s="111"/>
      <c r="M21" s="111"/>
      <c r="N21" s="111"/>
      <c r="O21" s="111"/>
      <c r="P21" s="111"/>
      <c r="Q21" s="111"/>
      <c r="R21" s="111"/>
      <c r="S21" s="111"/>
      <c r="T21" s="111"/>
    </row>
    <row r="22" spans="1:24" x14ac:dyDescent="0.4">
      <c r="K22" s="161"/>
      <c r="L22" s="52"/>
      <c r="M22" s="52"/>
      <c r="N22" s="52"/>
      <c r="O22" s="52"/>
      <c r="P22" s="52"/>
      <c r="Q22" s="52"/>
      <c r="R22" s="52"/>
      <c r="S22" s="52"/>
      <c r="T22" s="52"/>
    </row>
    <row r="23" spans="1:24" s="53" customFormat="1" x14ac:dyDescent="0.4">
      <c r="A23" s="36"/>
      <c r="B23" s="36"/>
      <c r="C23" s="36"/>
      <c r="D23" s="36"/>
      <c r="E23" s="72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W23" s="72"/>
    </row>
    <row r="24" spans="1:24" s="85" customFormat="1" x14ac:dyDescent="0.4">
      <c r="A24" s="83"/>
      <c r="B24" s="83"/>
      <c r="C24" s="83"/>
      <c r="D24" s="83"/>
      <c r="E24" s="84"/>
      <c r="F24" s="87" t="s">
        <v>110</v>
      </c>
      <c r="H24" s="86">
        <f>+K13*K12*K11</f>
        <v>0</v>
      </c>
      <c r="L24" s="86"/>
      <c r="M24" s="86"/>
      <c r="N24" s="86"/>
      <c r="O24" s="86"/>
      <c r="P24" s="86"/>
      <c r="Q24" s="86"/>
      <c r="R24" s="86"/>
      <c r="S24" s="86"/>
      <c r="T24" s="86"/>
      <c r="W24" s="69"/>
    </row>
    <row r="25" spans="1:24" x14ac:dyDescent="0.4"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</row>
    <row r="26" spans="1:24" s="91" customFormat="1" ht="18.5" x14ac:dyDescent="0.5">
      <c r="A26" s="88"/>
      <c r="B26" s="88"/>
      <c r="C26" s="88"/>
      <c r="D26" s="88"/>
      <c r="E26" s="96" t="s">
        <v>111</v>
      </c>
      <c r="F26" s="59" t="s">
        <v>38</v>
      </c>
      <c r="H26" s="115" t="s">
        <v>120</v>
      </c>
      <c r="I26" s="97"/>
      <c r="K26" s="95">
        <f t="shared" ref="K26:T26" si="5">+K27+K28+K32+K36+K41+K52+K56+K57+K59+K60+K63</f>
        <v>376002.28571428574</v>
      </c>
      <c r="L26" s="95">
        <f t="shared" si="5"/>
        <v>385402.34285714279</v>
      </c>
      <c r="M26" s="95">
        <f t="shared" si="5"/>
        <v>395037.40142857138</v>
      </c>
      <c r="N26" s="95">
        <f t="shared" si="5"/>
        <v>404913.33646428562</v>
      </c>
      <c r="O26" s="95">
        <f t="shared" si="5"/>
        <v>415036.16987589264</v>
      </c>
      <c r="P26" s="95">
        <f t="shared" si="5"/>
        <v>425412.0741227899</v>
      </c>
      <c r="Q26" s="95">
        <f t="shared" si="5"/>
        <v>436047.37597585964</v>
      </c>
      <c r="R26" s="95">
        <f t="shared" si="5"/>
        <v>446948.56037525611</v>
      </c>
      <c r="S26" s="95">
        <f t="shared" si="5"/>
        <v>458122.27438463748</v>
      </c>
      <c r="T26" s="95">
        <f t="shared" si="5"/>
        <v>469575.33124425332</v>
      </c>
      <c r="W26" s="98">
        <f>+SUM(K26:T26)</f>
        <v>4212497.152442975</v>
      </c>
      <c r="X26" s="97" t="e">
        <f>+K26/K15</f>
        <v>#DIV/0!</v>
      </c>
    </row>
    <row r="27" spans="1:24" ht="18" customHeight="1" x14ac:dyDescent="0.4">
      <c r="C27" s="148">
        <f>1/84</f>
        <v>1.1904761904761904E-2</v>
      </c>
      <c r="E27" s="80">
        <v>1</v>
      </c>
      <c r="F27" s="64" t="s">
        <v>52</v>
      </c>
      <c r="H27" s="73">
        <v>2750</v>
      </c>
      <c r="I27" s="66" t="s">
        <v>88</v>
      </c>
      <c r="K27" s="65">
        <f>+$H27*$E27*K2</f>
        <v>33000</v>
      </c>
      <c r="L27" s="65">
        <f>+K27*(1+$H$4)</f>
        <v>33825</v>
      </c>
      <c r="M27" s="65">
        <f t="shared" ref="M27:T27" si="6">+L27*(1+$H$4)</f>
        <v>34670.625</v>
      </c>
      <c r="N27" s="65">
        <f t="shared" si="6"/>
        <v>35537.390625</v>
      </c>
      <c r="O27" s="65">
        <f t="shared" si="6"/>
        <v>36425.825390624996</v>
      </c>
      <c r="P27" s="65">
        <f t="shared" si="6"/>
        <v>37336.471025390616</v>
      </c>
      <c r="Q27" s="65">
        <f t="shared" si="6"/>
        <v>38269.882801025378</v>
      </c>
      <c r="R27" s="65">
        <f t="shared" si="6"/>
        <v>39226.629871051009</v>
      </c>
      <c r="S27" s="65">
        <f t="shared" si="6"/>
        <v>40207.29561782728</v>
      </c>
      <c r="T27" s="65">
        <f t="shared" si="6"/>
        <v>41212.478008272956</v>
      </c>
    </row>
    <row r="28" spans="1:24" ht="18" customHeight="1" x14ac:dyDescent="0.4">
      <c r="A28" s="68" t="s">
        <v>88</v>
      </c>
      <c r="B28" s="67" t="s">
        <v>89</v>
      </c>
      <c r="E28" s="75"/>
      <c r="F28" s="64" t="s">
        <v>53</v>
      </c>
      <c r="H28" s="74"/>
      <c r="I28" s="66"/>
      <c r="K28" s="65">
        <f>+SUM(K29:K31)</f>
        <v>75342.857142857145</v>
      </c>
      <c r="L28" s="65">
        <f t="shared" ref="L28:T43" si="7">+K28*(1+$H$4)</f>
        <v>77226.428571428565</v>
      </c>
      <c r="M28" s="65">
        <f t="shared" si="7"/>
        <v>79157.089285714275</v>
      </c>
      <c r="N28" s="65">
        <f t="shared" si="7"/>
        <v>81136.016517857119</v>
      </c>
      <c r="O28" s="65">
        <f t="shared" si="7"/>
        <v>83164.416930803534</v>
      </c>
      <c r="P28" s="65">
        <f t="shared" si="7"/>
        <v>85243.527354073609</v>
      </c>
      <c r="Q28" s="65">
        <f t="shared" si="7"/>
        <v>87374.615537925449</v>
      </c>
      <c r="R28" s="65">
        <f t="shared" si="7"/>
        <v>89558.980926373581</v>
      </c>
      <c r="S28" s="65">
        <f t="shared" si="7"/>
        <v>91797.955449532907</v>
      </c>
      <c r="T28" s="65">
        <f t="shared" si="7"/>
        <v>94092.904335771222</v>
      </c>
    </row>
    <row r="29" spans="1:24" ht="18" customHeight="1" x14ac:dyDescent="0.4">
      <c r="A29" s="68" t="s">
        <v>90</v>
      </c>
      <c r="B29" s="67" t="s">
        <v>91</v>
      </c>
      <c r="C29" s="148">
        <f>1/84</f>
        <v>1.1904761904761904E-2</v>
      </c>
      <c r="E29" s="80">
        <v>1</v>
      </c>
      <c r="F29" s="58" t="s">
        <v>54</v>
      </c>
      <c r="H29" s="73">
        <v>2350</v>
      </c>
      <c r="I29" s="66" t="s">
        <v>88</v>
      </c>
      <c r="K29" s="57">
        <f>+$H29*$E29*K2</f>
        <v>28200</v>
      </c>
      <c r="L29" s="57">
        <f t="shared" si="7"/>
        <v>28904.999999999996</v>
      </c>
      <c r="M29" s="57">
        <f t="shared" si="7"/>
        <v>29627.624999999993</v>
      </c>
      <c r="N29" s="57">
        <f t="shared" si="7"/>
        <v>30368.315624999988</v>
      </c>
      <c r="O29" s="57">
        <f t="shared" si="7"/>
        <v>31127.523515624984</v>
      </c>
      <c r="P29" s="57">
        <f t="shared" si="7"/>
        <v>31905.711603515607</v>
      </c>
      <c r="Q29" s="57">
        <f t="shared" si="7"/>
        <v>32703.354393603495</v>
      </c>
      <c r="R29" s="57">
        <f t="shared" si="7"/>
        <v>33520.938253443579</v>
      </c>
      <c r="S29" s="57">
        <f t="shared" si="7"/>
        <v>34358.961709779665</v>
      </c>
      <c r="T29" s="57">
        <f t="shared" si="7"/>
        <v>35217.935752524158</v>
      </c>
    </row>
    <row r="30" spans="1:24" ht="18" customHeight="1" x14ac:dyDescent="0.4">
      <c r="A30" s="68" t="s">
        <v>92</v>
      </c>
      <c r="B30" s="67" t="s">
        <v>93</v>
      </c>
      <c r="C30" s="147">
        <v>0.19642857142857142</v>
      </c>
      <c r="E30" s="80">
        <f>+C30*K13</f>
        <v>1.9642857142857142</v>
      </c>
      <c r="F30" s="58" t="s">
        <v>55</v>
      </c>
      <c r="H30" s="73">
        <v>2000</v>
      </c>
      <c r="I30" s="66" t="s">
        <v>88</v>
      </c>
      <c r="K30" s="57">
        <f>+$H30*$E30*K2</f>
        <v>47142.857142857145</v>
      </c>
      <c r="L30" s="57">
        <f t="shared" si="7"/>
        <v>48321.428571428572</v>
      </c>
      <c r="M30" s="57">
        <f t="shared" si="7"/>
        <v>49529.464285714283</v>
      </c>
      <c r="N30" s="57">
        <f t="shared" si="7"/>
        <v>50767.700892857138</v>
      </c>
      <c r="O30" s="57">
        <f t="shared" si="7"/>
        <v>52036.893415178565</v>
      </c>
      <c r="P30" s="57">
        <f t="shared" si="7"/>
        <v>53337.815750558024</v>
      </c>
      <c r="Q30" s="57">
        <f t="shared" si="7"/>
        <v>54671.261144321972</v>
      </c>
      <c r="R30" s="57">
        <f t="shared" si="7"/>
        <v>56038.042672930016</v>
      </c>
      <c r="S30" s="57">
        <f t="shared" si="7"/>
        <v>57438.993739753263</v>
      </c>
      <c r="T30" s="57">
        <f t="shared" si="7"/>
        <v>58874.968583247086</v>
      </c>
    </row>
    <row r="31" spans="1:24" ht="18" customHeight="1" x14ac:dyDescent="0.4">
      <c r="E31" s="75"/>
      <c r="F31" s="58" t="s">
        <v>56</v>
      </c>
      <c r="H31" s="73">
        <v>1.2</v>
      </c>
      <c r="I31" s="66" t="s">
        <v>92</v>
      </c>
      <c r="K31" s="57">
        <f>+$H31*$H$24</f>
        <v>0</v>
      </c>
      <c r="L31" s="57">
        <f t="shared" si="7"/>
        <v>0</v>
      </c>
      <c r="M31" s="57">
        <f t="shared" si="7"/>
        <v>0</v>
      </c>
      <c r="N31" s="57">
        <f t="shared" si="7"/>
        <v>0</v>
      </c>
      <c r="O31" s="57">
        <f t="shared" si="7"/>
        <v>0</v>
      </c>
      <c r="P31" s="57">
        <f t="shared" si="7"/>
        <v>0</v>
      </c>
      <c r="Q31" s="57">
        <f t="shared" si="7"/>
        <v>0</v>
      </c>
      <c r="R31" s="57">
        <f t="shared" si="7"/>
        <v>0</v>
      </c>
      <c r="S31" s="57">
        <f t="shared" si="7"/>
        <v>0</v>
      </c>
      <c r="T31" s="57">
        <f t="shared" si="7"/>
        <v>0</v>
      </c>
    </row>
    <row r="32" spans="1:24" ht="18" customHeight="1" x14ac:dyDescent="0.4">
      <c r="E32" s="75"/>
      <c r="F32" s="64" t="s">
        <v>57</v>
      </c>
      <c r="H32" s="74"/>
      <c r="I32" s="66"/>
      <c r="K32" s="65">
        <f>+SUM(K33:K35)</f>
        <v>58800</v>
      </c>
      <c r="L32" s="65">
        <f t="shared" si="7"/>
        <v>60269.999999999993</v>
      </c>
      <c r="M32" s="65">
        <f t="shared" si="7"/>
        <v>61776.749999999985</v>
      </c>
      <c r="N32" s="65">
        <f t="shared" si="7"/>
        <v>63321.168749999983</v>
      </c>
      <c r="O32" s="65">
        <f t="shared" si="7"/>
        <v>64904.197968749977</v>
      </c>
      <c r="P32" s="65">
        <f t="shared" si="7"/>
        <v>66526.802917968715</v>
      </c>
      <c r="Q32" s="65">
        <f t="shared" si="7"/>
        <v>68189.97299091793</v>
      </c>
      <c r="R32" s="65">
        <f t="shared" si="7"/>
        <v>69894.722315690873</v>
      </c>
      <c r="S32" s="65">
        <f t="shared" si="7"/>
        <v>71642.090373583138</v>
      </c>
      <c r="T32" s="65">
        <f t="shared" si="7"/>
        <v>73433.142632922711</v>
      </c>
    </row>
    <row r="33" spans="3:20" ht="18" customHeight="1" x14ac:dyDescent="0.4">
      <c r="E33" s="75"/>
      <c r="F33" s="58" t="s">
        <v>58</v>
      </c>
      <c r="H33" s="73">
        <v>500</v>
      </c>
      <c r="I33" s="66" t="s">
        <v>88</v>
      </c>
      <c r="K33" s="57">
        <f>+H33*K2</f>
        <v>6000</v>
      </c>
      <c r="L33" s="57">
        <f t="shared" si="7"/>
        <v>6149.9999999999991</v>
      </c>
      <c r="M33" s="57">
        <f t="shared" si="7"/>
        <v>6303.7499999999982</v>
      </c>
      <c r="N33" s="57">
        <f t="shared" si="7"/>
        <v>6461.3437499999973</v>
      </c>
      <c r="O33" s="57">
        <f t="shared" si="7"/>
        <v>6622.8773437499967</v>
      </c>
      <c r="P33" s="57">
        <f t="shared" si="7"/>
        <v>6788.449277343746</v>
      </c>
      <c r="Q33" s="57">
        <f t="shared" si="7"/>
        <v>6958.1605092773389</v>
      </c>
      <c r="R33" s="57">
        <f t="shared" si="7"/>
        <v>7132.1145220092722</v>
      </c>
      <c r="S33" s="57">
        <f t="shared" si="7"/>
        <v>7310.4173850595034</v>
      </c>
      <c r="T33" s="57">
        <f t="shared" si="7"/>
        <v>7493.1778196859905</v>
      </c>
    </row>
    <row r="34" spans="3:20" ht="18" customHeight="1" x14ac:dyDescent="0.4">
      <c r="C34" s="148">
        <f>1.5/84</f>
        <v>1.7857142857142856E-2</v>
      </c>
      <c r="E34" s="80">
        <v>2</v>
      </c>
      <c r="F34" s="58" t="s">
        <v>59</v>
      </c>
      <c r="H34" s="73">
        <v>2200</v>
      </c>
      <c r="I34" s="66" t="s">
        <v>88</v>
      </c>
      <c r="K34" s="57">
        <f>+$H34*$E34*K2</f>
        <v>52800</v>
      </c>
      <c r="L34" s="57">
        <f t="shared" si="7"/>
        <v>54119.999999999993</v>
      </c>
      <c r="M34" s="57">
        <f t="shared" si="7"/>
        <v>55472.999999999985</v>
      </c>
      <c r="N34" s="57">
        <f t="shared" si="7"/>
        <v>56859.824999999983</v>
      </c>
      <c r="O34" s="57">
        <f t="shared" si="7"/>
        <v>58281.320624999978</v>
      </c>
      <c r="P34" s="57">
        <f t="shared" si="7"/>
        <v>59738.35364062497</v>
      </c>
      <c r="Q34" s="57">
        <f t="shared" si="7"/>
        <v>61231.812481640591</v>
      </c>
      <c r="R34" s="57">
        <f t="shared" si="7"/>
        <v>62762.6077936816</v>
      </c>
      <c r="S34" s="57">
        <f t="shared" si="7"/>
        <v>64331.672988523635</v>
      </c>
      <c r="T34" s="57">
        <f t="shared" si="7"/>
        <v>65939.964813236715</v>
      </c>
    </row>
    <row r="35" spans="3:20" ht="18" customHeight="1" x14ac:dyDescent="0.4">
      <c r="E35" s="75"/>
      <c r="F35" s="58" t="s">
        <v>60</v>
      </c>
      <c r="H35" s="73">
        <v>0.35</v>
      </c>
      <c r="I35" s="66" t="s">
        <v>92</v>
      </c>
      <c r="K35" s="57">
        <f>+$H35*$H$24</f>
        <v>0</v>
      </c>
      <c r="L35" s="57">
        <f t="shared" si="7"/>
        <v>0</v>
      </c>
      <c r="M35" s="57">
        <f t="shared" si="7"/>
        <v>0</v>
      </c>
      <c r="N35" s="57">
        <f t="shared" si="7"/>
        <v>0</v>
      </c>
      <c r="O35" s="57">
        <f t="shared" si="7"/>
        <v>0</v>
      </c>
      <c r="P35" s="57">
        <f t="shared" si="7"/>
        <v>0</v>
      </c>
      <c r="Q35" s="57">
        <f t="shared" si="7"/>
        <v>0</v>
      </c>
      <c r="R35" s="57">
        <f t="shared" si="7"/>
        <v>0</v>
      </c>
      <c r="S35" s="57">
        <f t="shared" si="7"/>
        <v>0</v>
      </c>
      <c r="T35" s="57">
        <f t="shared" si="7"/>
        <v>0</v>
      </c>
    </row>
    <row r="36" spans="3:20" ht="18" customHeight="1" x14ac:dyDescent="0.4">
      <c r="E36" s="75"/>
      <c r="F36" s="64" t="s">
        <v>61</v>
      </c>
      <c r="H36" s="74"/>
      <c r="I36" s="66"/>
      <c r="K36" s="65">
        <f>+SUM(K37:K40)</f>
        <v>0</v>
      </c>
      <c r="L36" s="65">
        <f t="shared" si="7"/>
        <v>0</v>
      </c>
      <c r="M36" s="65">
        <f t="shared" si="7"/>
        <v>0</v>
      </c>
      <c r="N36" s="65">
        <f t="shared" si="7"/>
        <v>0</v>
      </c>
      <c r="O36" s="65">
        <f t="shared" si="7"/>
        <v>0</v>
      </c>
      <c r="P36" s="65">
        <f t="shared" si="7"/>
        <v>0</v>
      </c>
      <c r="Q36" s="65">
        <f t="shared" si="7"/>
        <v>0</v>
      </c>
      <c r="R36" s="65">
        <f t="shared" si="7"/>
        <v>0</v>
      </c>
      <c r="S36" s="65">
        <f t="shared" si="7"/>
        <v>0</v>
      </c>
      <c r="T36" s="65">
        <f t="shared" si="7"/>
        <v>0</v>
      </c>
    </row>
    <row r="37" spans="3:20" ht="18" customHeight="1" x14ac:dyDescent="0.4">
      <c r="E37" s="75"/>
      <c r="F37" s="58" t="s">
        <v>62</v>
      </c>
      <c r="H37" s="112">
        <v>2.5000000000000001E-2</v>
      </c>
      <c r="I37" s="66" t="s">
        <v>90</v>
      </c>
      <c r="K37" s="57">
        <f>+$H37*K$15</f>
        <v>0</v>
      </c>
      <c r="L37" s="57">
        <f t="shared" si="7"/>
        <v>0</v>
      </c>
      <c r="M37" s="57">
        <f t="shared" si="7"/>
        <v>0</v>
      </c>
      <c r="N37" s="57">
        <f t="shared" si="7"/>
        <v>0</v>
      </c>
      <c r="O37" s="57">
        <f t="shared" si="7"/>
        <v>0</v>
      </c>
      <c r="P37" s="57">
        <f t="shared" si="7"/>
        <v>0</v>
      </c>
      <c r="Q37" s="57">
        <f t="shared" si="7"/>
        <v>0</v>
      </c>
      <c r="R37" s="57">
        <f t="shared" si="7"/>
        <v>0</v>
      </c>
      <c r="S37" s="57">
        <f t="shared" si="7"/>
        <v>0</v>
      </c>
      <c r="T37" s="57">
        <f t="shared" si="7"/>
        <v>0</v>
      </c>
    </row>
    <row r="38" spans="3:20" ht="18" customHeight="1" x14ac:dyDescent="0.4">
      <c r="E38" s="80">
        <v>0</v>
      </c>
      <c r="F38" s="58" t="s">
        <v>63</v>
      </c>
      <c r="H38" s="73">
        <v>2200</v>
      </c>
      <c r="I38" s="66" t="s">
        <v>88</v>
      </c>
      <c r="K38" s="57">
        <f>+$H38*$E38*K2</f>
        <v>0</v>
      </c>
      <c r="L38" s="57">
        <f t="shared" si="7"/>
        <v>0</v>
      </c>
      <c r="M38" s="57">
        <f t="shared" si="7"/>
        <v>0</v>
      </c>
      <c r="N38" s="57">
        <f t="shared" si="7"/>
        <v>0</v>
      </c>
      <c r="O38" s="57">
        <f t="shared" si="7"/>
        <v>0</v>
      </c>
      <c r="P38" s="57">
        <f t="shared" si="7"/>
        <v>0</v>
      </c>
      <c r="Q38" s="57">
        <f t="shared" si="7"/>
        <v>0</v>
      </c>
      <c r="R38" s="57">
        <f t="shared" si="7"/>
        <v>0</v>
      </c>
      <c r="S38" s="57">
        <f t="shared" si="7"/>
        <v>0</v>
      </c>
      <c r="T38" s="57">
        <f t="shared" si="7"/>
        <v>0</v>
      </c>
    </row>
    <row r="39" spans="3:20" ht="18" customHeight="1" x14ac:dyDescent="0.4">
      <c r="E39" s="75"/>
      <c r="F39" s="58" t="s">
        <v>64</v>
      </c>
      <c r="H39" s="76">
        <v>0.14000000000000001</v>
      </c>
      <c r="I39" s="66" t="s">
        <v>96</v>
      </c>
      <c r="K39" s="57">
        <f>+$H39*K$18</f>
        <v>0</v>
      </c>
      <c r="L39" s="57">
        <f t="shared" si="7"/>
        <v>0</v>
      </c>
      <c r="M39" s="57">
        <f t="shared" si="7"/>
        <v>0</v>
      </c>
      <c r="N39" s="57">
        <f t="shared" si="7"/>
        <v>0</v>
      </c>
      <c r="O39" s="57">
        <f t="shared" si="7"/>
        <v>0</v>
      </c>
      <c r="P39" s="57">
        <f t="shared" si="7"/>
        <v>0</v>
      </c>
      <c r="Q39" s="57">
        <f t="shared" si="7"/>
        <v>0</v>
      </c>
      <c r="R39" s="57">
        <f t="shared" si="7"/>
        <v>0</v>
      </c>
      <c r="S39" s="57">
        <f t="shared" si="7"/>
        <v>0</v>
      </c>
      <c r="T39" s="57">
        <f t="shared" si="7"/>
        <v>0</v>
      </c>
    </row>
    <row r="40" spans="3:20" ht="18" customHeight="1" x14ac:dyDescent="0.4">
      <c r="E40" s="75"/>
      <c r="F40" s="58" t="s">
        <v>65</v>
      </c>
      <c r="H40" s="73">
        <v>0</v>
      </c>
      <c r="I40" s="66" t="s">
        <v>88</v>
      </c>
      <c r="K40" s="57">
        <f>+H40*K2</f>
        <v>0</v>
      </c>
      <c r="L40" s="57">
        <f t="shared" si="7"/>
        <v>0</v>
      </c>
      <c r="M40" s="57">
        <f t="shared" si="7"/>
        <v>0</v>
      </c>
      <c r="N40" s="57">
        <f t="shared" si="7"/>
        <v>0</v>
      </c>
      <c r="O40" s="57">
        <f t="shared" si="7"/>
        <v>0</v>
      </c>
      <c r="P40" s="57">
        <f t="shared" si="7"/>
        <v>0</v>
      </c>
      <c r="Q40" s="57">
        <f t="shared" si="7"/>
        <v>0</v>
      </c>
      <c r="R40" s="57">
        <f t="shared" si="7"/>
        <v>0</v>
      </c>
      <c r="S40" s="57">
        <f t="shared" si="7"/>
        <v>0</v>
      </c>
      <c r="T40" s="57">
        <f t="shared" si="7"/>
        <v>0</v>
      </c>
    </row>
    <row r="41" spans="3:20" ht="18" customHeight="1" x14ac:dyDescent="0.4">
      <c r="E41" s="75"/>
      <c r="F41" s="64" t="s">
        <v>66</v>
      </c>
      <c r="H41" s="74"/>
      <c r="I41" s="66"/>
      <c r="K41" s="65">
        <f>+SUM(K42:K51)</f>
        <v>10364.428571428571</v>
      </c>
      <c r="L41" s="65">
        <f t="shared" si="7"/>
        <v>10623.539285714283</v>
      </c>
      <c r="M41" s="65">
        <f t="shared" si="7"/>
        <v>10889.127767857139</v>
      </c>
      <c r="N41" s="65">
        <f t="shared" si="7"/>
        <v>11161.355962053567</v>
      </c>
      <c r="O41" s="65">
        <f t="shared" si="7"/>
        <v>11440.389861104904</v>
      </c>
      <c r="P41" s="65">
        <f t="shared" si="7"/>
        <v>11726.399607632526</v>
      </c>
      <c r="Q41" s="65">
        <f t="shared" si="7"/>
        <v>12019.559597823338</v>
      </c>
      <c r="R41" s="65">
        <f t="shared" si="7"/>
        <v>12320.048587768921</v>
      </c>
      <c r="S41" s="65">
        <f t="shared" si="7"/>
        <v>12628.049802463143</v>
      </c>
      <c r="T41" s="65">
        <f t="shared" si="7"/>
        <v>12943.75104752472</v>
      </c>
    </row>
    <row r="42" spans="3:20" ht="18" customHeight="1" x14ac:dyDescent="0.4">
      <c r="E42" s="75"/>
      <c r="F42" s="58" t="s">
        <v>67</v>
      </c>
      <c r="H42" s="73">
        <v>0.5</v>
      </c>
      <c r="I42" s="66" t="s">
        <v>92</v>
      </c>
      <c r="K42" s="57">
        <f>+$H42*$H$24</f>
        <v>0</v>
      </c>
      <c r="L42" s="57">
        <f t="shared" si="7"/>
        <v>0</v>
      </c>
      <c r="M42" s="57">
        <f t="shared" si="7"/>
        <v>0</v>
      </c>
      <c r="N42" s="57">
        <f t="shared" si="7"/>
        <v>0</v>
      </c>
      <c r="O42" s="57">
        <f t="shared" si="7"/>
        <v>0</v>
      </c>
      <c r="P42" s="57">
        <f t="shared" si="7"/>
        <v>0</v>
      </c>
      <c r="Q42" s="57">
        <f t="shared" si="7"/>
        <v>0</v>
      </c>
      <c r="R42" s="57">
        <f t="shared" si="7"/>
        <v>0</v>
      </c>
      <c r="S42" s="57">
        <f t="shared" si="7"/>
        <v>0</v>
      </c>
      <c r="T42" s="57">
        <f t="shared" si="7"/>
        <v>0</v>
      </c>
    </row>
    <row r="43" spans="3:20" ht="18" customHeight="1" x14ac:dyDescent="0.4">
      <c r="C43" s="148"/>
      <c r="E43" s="75"/>
      <c r="F43" s="58" t="s">
        <v>68</v>
      </c>
      <c r="H43" s="73">
        <v>65</v>
      </c>
      <c r="I43" s="66" t="s">
        <v>88</v>
      </c>
      <c r="K43" s="57">
        <f>+H43*K2</f>
        <v>780</v>
      </c>
      <c r="L43" s="57">
        <f t="shared" si="7"/>
        <v>799.49999999999989</v>
      </c>
      <c r="M43" s="57">
        <f t="shared" si="7"/>
        <v>819.48749999999984</v>
      </c>
      <c r="N43" s="57">
        <f t="shared" si="7"/>
        <v>839.97468749999973</v>
      </c>
      <c r="O43" s="57">
        <f t="shared" si="7"/>
        <v>860.97405468749969</v>
      </c>
      <c r="P43" s="57">
        <f t="shared" si="7"/>
        <v>882.49840605468705</v>
      </c>
      <c r="Q43" s="57">
        <f t="shared" si="7"/>
        <v>904.56086620605413</v>
      </c>
      <c r="R43" s="57">
        <f t="shared" si="7"/>
        <v>927.17488786120543</v>
      </c>
      <c r="S43" s="57">
        <f t="shared" si="7"/>
        <v>950.35426005773547</v>
      </c>
      <c r="T43" s="57">
        <f t="shared" si="7"/>
        <v>974.11311655917882</v>
      </c>
    </row>
    <row r="44" spans="3:20" ht="18" customHeight="1" x14ac:dyDescent="0.4">
      <c r="C44" s="148">
        <v>22.321428571428573</v>
      </c>
      <c r="E44" s="75"/>
      <c r="F44" s="58" t="s">
        <v>69</v>
      </c>
      <c r="H44" s="81">
        <f>+C44*K13</f>
        <v>223.21428571428572</v>
      </c>
      <c r="I44" s="66" t="s">
        <v>88</v>
      </c>
      <c r="K44" s="57">
        <f>+H44*K2</f>
        <v>2678.5714285714284</v>
      </c>
      <c r="L44" s="57">
        <f t="shared" ref="L44:T59" si="8">+K44*(1+$H$4)</f>
        <v>2745.5357142857138</v>
      </c>
      <c r="M44" s="57">
        <f t="shared" si="8"/>
        <v>2814.1741071428564</v>
      </c>
      <c r="N44" s="57">
        <f t="shared" si="8"/>
        <v>2884.5284598214275</v>
      </c>
      <c r="O44" s="57">
        <f t="shared" si="8"/>
        <v>2956.6416713169629</v>
      </c>
      <c r="P44" s="57">
        <f t="shared" si="8"/>
        <v>3030.5577130998868</v>
      </c>
      <c r="Q44" s="57">
        <f t="shared" si="8"/>
        <v>3106.3216559273837</v>
      </c>
      <c r="R44" s="57">
        <f t="shared" si="8"/>
        <v>3183.9796973255679</v>
      </c>
      <c r="S44" s="57">
        <f t="shared" si="8"/>
        <v>3263.5791897587069</v>
      </c>
      <c r="T44" s="57">
        <f t="shared" si="8"/>
        <v>3345.1686695026742</v>
      </c>
    </row>
    <row r="45" spans="3:20" ht="18" customHeight="1" x14ac:dyDescent="0.4">
      <c r="C45" s="148"/>
      <c r="E45" s="75"/>
      <c r="F45" s="58" t="s">
        <v>70</v>
      </c>
      <c r="H45" s="73">
        <v>0</v>
      </c>
      <c r="I45" s="66" t="s">
        <v>88</v>
      </c>
      <c r="K45" s="57">
        <f>+H45*K2</f>
        <v>0</v>
      </c>
      <c r="L45" s="57">
        <f t="shared" si="8"/>
        <v>0</v>
      </c>
      <c r="M45" s="57">
        <f t="shared" si="8"/>
        <v>0</v>
      </c>
      <c r="N45" s="57">
        <f t="shared" si="8"/>
        <v>0</v>
      </c>
      <c r="O45" s="57">
        <f t="shared" si="8"/>
        <v>0</v>
      </c>
      <c r="P45" s="57">
        <f t="shared" si="8"/>
        <v>0</v>
      </c>
      <c r="Q45" s="57">
        <f t="shared" si="8"/>
        <v>0</v>
      </c>
      <c r="R45" s="57">
        <f t="shared" si="8"/>
        <v>0</v>
      </c>
      <c r="S45" s="57">
        <f t="shared" si="8"/>
        <v>0</v>
      </c>
      <c r="T45" s="57">
        <f t="shared" si="8"/>
        <v>0</v>
      </c>
    </row>
    <row r="46" spans="3:20" ht="18" customHeight="1" x14ac:dyDescent="0.4">
      <c r="C46" s="148">
        <v>5.9523809523809517</v>
      </c>
      <c r="E46" s="75"/>
      <c r="F46" s="58" t="s">
        <v>71</v>
      </c>
      <c r="H46" s="73">
        <f>+C46*K13</f>
        <v>59.523809523809518</v>
      </c>
      <c r="I46" s="66" t="s">
        <v>88</v>
      </c>
      <c r="K46" s="57">
        <f>+H46*K2</f>
        <v>714.28571428571422</v>
      </c>
      <c r="L46" s="57">
        <f t="shared" si="8"/>
        <v>732.142857142857</v>
      </c>
      <c r="M46" s="57">
        <f t="shared" si="8"/>
        <v>750.44642857142833</v>
      </c>
      <c r="N46" s="57">
        <f t="shared" si="8"/>
        <v>769.20758928571399</v>
      </c>
      <c r="O46" s="57">
        <f t="shared" si="8"/>
        <v>788.43777901785677</v>
      </c>
      <c r="P46" s="57">
        <f t="shared" si="8"/>
        <v>808.14872349330312</v>
      </c>
      <c r="Q46" s="57">
        <f t="shared" si="8"/>
        <v>828.35244158063563</v>
      </c>
      <c r="R46" s="57">
        <f t="shared" si="8"/>
        <v>849.06125262015144</v>
      </c>
      <c r="S46" s="57">
        <f t="shared" si="8"/>
        <v>870.28778393565517</v>
      </c>
      <c r="T46" s="57">
        <f t="shared" si="8"/>
        <v>892.04497853404644</v>
      </c>
    </row>
    <row r="47" spans="3:20" ht="18" customHeight="1" x14ac:dyDescent="0.4">
      <c r="C47" s="148">
        <v>14</v>
      </c>
      <c r="E47" s="75"/>
      <c r="F47" s="58" t="s">
        <v>72</v>
      </c>
      <c r="H47" s="73">
        <f>+C47*$K$13</f>
        <v>140</v>
      </c>
      <c r="I47" s="66" t="s">
        <v>88</v>
      </c>
      <c r="K47" s="57">
        <f>+H47*K2</f>
        <v>1680</v>
      </c>
      <c r="L47" s="57">
        <f t="shared" si="8"/>
        <v>1721.9999999999998</v>
      </c>
      <c r="M47" s="57">
        <f t="shared" si="8"/>
        <v>1765.0499999999997</v>
      </c>
      <c r="N47" s="57">
        <f t="shared" si="8"/>
        <v>1809.1762499999995</v>
      </c>
      <c r="O47" s="57">
        <f t="shared" si="8"/>
        <v>1854.4056562499993</v>
      </c>
      <c r="P47" s="57">
        <f t="shared" si="8"/>
        <v>1900.7657976562491</v>
      </c>
      <c r="Q47" s="57">
        <f t="shared" si="8"/>
        <v>1948.2849425976551</v>
      </c>
      <c r="R47" s="57">
        <f t="shared" si="8"/>
        <v>1996.9920661625963</v>
      </c>
      <c r="S47" s="57">
        <f t="shared" si="8"/>
        <v>2046.9168678166611</v>
      </c>
      <c r="T47" s="57">
        <f t="shared" si="8"/>
        <v>2098.0897895120775</v>
      </c>
    </row>
    <row r="48" spans="3:20" ht="18" customHeight="1" x14ac:dyDescent="0.4">
      <c r="C48" s="148"/>
      <c r="E48" s="75"/>
      <c r="F48" s="58" t="s">
        <v>73</v>
      </c>
      <c r="H48" s="76">
        <v>0.03</v>
      </c>
      <c r="I48" s="66" t="s">
        <v>90</v>
      </c>
      <c r="K48" s="57">
        <f>+$H48*K$15</f>
        <v>0</v>
      </c>
      <c r="L48" s="57">
        <f t="shared" si="8"/>
        <v>0</v>
      </c>
      <c r="M48" s="57">
        <f t="shared" si="8"/>
        <v>0</v>
      </c>
      <c r="N48" s="57">
        <f t="shared" si="8"/>
        <v>0</v>
      </c>
      <c r="O48" s="57">
        <f t="shared" si="8"/>
        <v>0</v>
      </c>
      <c r="P48" s="57">
        <f t="shared" si="8"/>
        <v>0</v>
      </c>
      <c r="Q48" s="57">
        <f t="shared" si="8"/>
        <v>0</v>
      </c>
      <c r="R48" s="57">
        <f t="shared" si="8"/>
        <v>0</v>
      </c>
      <c r="S48" s="57">
        <f t="shared" si="8"/>
        <v>0</v>
      </c>
      <c r="T48" s="57">
        <f t="shared" si="8"/>
        <v>0</v>
      </c>
    </row>
    <row r="49" spans="2:20" ht="18" customHeight="1" x14ac:dyDescent="0.4">
      <c r="C49" s="148"/>
      <c r="E49" s="75"/>
      <c r="F49" s="58" t="s">
        <v>74</v>
      </c>
      <c r="H49" s="77">
        <v>2E-3</v>
      </c>
      <c r="I49" s="66" t="s">
        <v>90</v>
      </c>
      <c r="K49" s="57">
        <f>+$H49*K$15</f>
        <v>0</v>
      </c>
      <c r="L49" s="57">
        <f t="shared" si="8"/>
        <v>0</v>
      </c>
      <c r="M49" s="57">
        <f t="shared" si="8"/>
        <v>0</v>
      </c>
      <c r="N49" s="57">
        <f t="shared" si="8"/>
        <v>0</v>
      </c>
      <c r="O49" s="57">
        <f t="shared" si="8"/>
        <v>0</v>
      </c>
      <c r="P49" s="57">
        <f t="shared" si="8"/>
        <v>0</v>
      </c>
      <c r="Q49" s="57">
        <f t="shared" si="8"/>
        <v>0</v>
      </c>
      <c r="R49" s="57">
        <f t="shared" si="8"/>
        <v>0</v>
      </c>
      <c r="S49" s="57">
        <f t="shared" si="8"/>
        <v>0</v>
      </c>
      <c r="T49" s="57">
        <f t="shared" si="8"/>
        <v>0</v>
      </c>
    </row>
    <row r="50" spans="2:20" ht="18" customHeight="1" x14ac:dyDescent="0.4">
      <c r="C50" s="148">
        <v>14.5</v>
      </c>
      <c r="E50" s="75"/>
      <c r="F50" s="58" t="s">
        <v>75</v>
      </c>
      <c r="H50" s="73">
        <f>+C50*(SUM($E$27:$E$66))</f>
        <v>187.98214285714286</v>
      </c>
      <c r="I50" s="66" t="s">
        <v>88</v>
      </c>
      <c r="K50" s="57">
        <f>+H50*K2</f>
        <v>2255.7857142857142</v>
      </c>
      <c r="L50" s="57">
        <f t="shared" si="8"/>
        <v>2312.1803571428568</v>
      </c>
      <c r="M50" s="57">
        <f t="shared" si="8"/>
        <v>2369.9848660714279</v>
      </c>
      <c r="N50" s="57">
        <f t="shared" si="8"/>
        <v>2429.2344877232135</v>
      </c>
      <c r="O50" s="57">
        <f t="shared" si="8"/>
        <v>2489.9653499162937</v>
      </c>
      <c r="P50" s="57">
        <f t="shared" si="8"/>
        <v>2552.214483664201</v>
      </c>
      <c r="Q50" s="57">
        <f t="shared" si="8"/>
        <v>2616.0198457558058</v>
      </c>
      <c r="R50" s="57">
        <f t="shared" si="8"/>
        <v>2681.4203418997008</v>
      </c>
      <c r="S50" s="57">
        <f t="shared" si="8"/>
        <v>2748.4558504471929</v>
      </c>
      <c r="T50" s="57">
        <f t="shared" si="8"/>
        <v>2817.1672467083727</v>
      </c>
    </row>
    <row r="51" spans="2:20" ht="18" customHeight="1" x14ac:dyDescent="0.4">
      <c r="C51" s="148"/>
      <c r="E51" s="75"/>
      <c r="F51" s="58" t="s">
        <v>76</v>
      </c>
      <c r="H51" s="73">
        <f>+H50</f>
        <v>187.98214285714286</v>
      </c>
      <c r="I51" s="66" t="s">
        <v>88</v>
      </c>
      <c r="K51" s="57">
        <f>+H51*K2</f>
        <v>2255.7857142857142</v>
      </c>
      <c r="L51" s="57">
        <f t="shared" si="8"/>
        <v>2312.1803571428568</v>
      </c>
      <c r="M51" s="57">
        <f t="shared" si="8"/>
        <v>2369.9848660714279</v>
      </c>
      <c r="N51" s="57">
        <f t="shared" si="8"/>
        <v>2429.2344877232135</v>
      </c>
      <c r="O51" s="57">
        <f t="shared" si="8"/>
        <v>2489.9653499162937</v>
      </c>
      <c r="P51" s="57">
        <f t="shared" si="8"/>
        <v>2552.214483664201</v>
      </c>
      <c r="Q51" s="57">
        <f t="shared" si="8"/>
        <v>2616.0198457558058</v>
      </c>
      <c r="R51" s="57">
        <f t="shared" si="8"/>
        <v>2681.4203418997008</v>
      </c>
      <c r="S51" s="57">
        <f t="shared" si="8"/>
        <v>2748.4558504471929</v>
      </c>
      <c r="T51" s="57">
        <f t="shared" si="8"/>
        <v>2817.1672467083727</v>
      </c>
    </row>
    <row r="52" spans="2:20" ht="18" customHeight="1" x14ac:dyDescent="0.4">
      <c r="C52" s="148"/>
      <c r="E52" s="75"/>
      <c r="F52" s="64" t="s">
        <v>77</v>
      </c>
      <c r="H52" s="74"/>
      <c r="I52" s="66"/>
      <c r="K52" s="65">
        <f>+SUM(K53:K55)</f>
        <v>4800</v>
      </c>
      <c r="L52" s="65">
        <f t="shared" si="8"/>
        <v>4920</v>
      </c>
      <c r="M52" s="65">
        <f t="shared" si="8"/>
        <v>5043</v>
      </c>
      <c r="N52" s="65">
        <f t="shared" si="8"/>
        <v>5169.0749999999998</v>
      </c>
      <c r="O52" s="65">
        <f t="shared" si="8"/>
        <v>5298.3018749999992</v>
      </c>
      <c r="P52" s="65">
        <f t="shared" si="8"/>
        <v>5430.7594218749991</v>
      </c>
      <c r="Q52" s="65">
        <f t="shared" si="8"/>
        <v>5566.5284074218735</v>
      </c>
      <c r="R52" s="65">
        <f t="shared" si="8"/>
        <v>5705.6916176074201</v>
      </c>
      <c r="S52" s="65">
        <f t="shared" si="8"/>
        <v>5848.3339080476053</v>
      </c>
      <c r="T52" s="65">
        <f t="shared" si="8"/>
        <v>5994.5422557487946</v>
      </c>
    </row>
    <row r="53" spans="2:20" ht="18" customHeight="1" x14ac:dyDescent="0.4">
      <c r="C53" s="148"/>
      <c r="E53" s="75"/>
      <c r="F53" s="58" t="s">
        <v>78</v>
      </c>
      <c r="H53" s="73">
        <v>3.5</v>
      </c>
      <c r="I53" s="66" t="s">
        <v>92</v>
      </c>
      <c r="K53" s="57">
        <f t="shared" ref="K53:K54" si="9">+$H53*$H$24</f>
        <v>0</v>
      </c>
      <c r="L53" s="57">
        <f t="shared" si="8"/>
        <v>0</v>
      </c>
      <c r="M53" s="57">
        <f t="shared" si="8"/>
        <v>0</v>
      </c>
      <c r="N53" s="57">
        <f t="shared" si="8"/>
        <v>0</v>
      </c>
      <c r="O53" s="57">
        <f t="shared" si="8"/>
        <v>0</v>
      </c>
      <c r="P53" s="57">
        <f t="shared" si="8"/>
        <v>0</v>
      </c>
      <c r="Q53" s="57">
        <f t="shared" si="8"/>
        <v>0</v>
      </c>
      <c r="R53" s="57">
        <f t="shared" si="8"/>
        <v>0</v>
      </c>
      <c r="S53" s="57">
        <f t="shared" si="8"/>
        <v>0</v>
      </c>
      <c r="T53" s="57">
        <f t="shared" si="8"/>
        <v>0</v>
      </c>
    </row>
    <row r="54" spans="2:20" ht="18" customHeight="1" x14ac:dyDescent="0.4">
      <c r="C54" s="148"/>
      <c r="E54" s="75"/>
      <c r="F54" s="58" t="s">
        <v>79</v>
      </c>
      <c r="H54" s="73">
        <v>0.8</v>
      </c>
      <c r="I54" s="66" t="s">
        <v>92</v>
      </c>
      <c r="K54" s="57">
        <f t="shared" si="9"/>
        <v>0</v>
      </c>
      <c r="L54" s="57">
        <f t="shared" si="8"/>
        <v>0</v>
      </c>
      <c r="M54" s="57">
        <f t="shared" si="8"/>
        <v>0</v>
      </c>
      <c r="N54" s="57">
        <f t="shared" si="8"/>
        <v>0</v>
      </c>
      <c r="O54" s="57">
        <f t="shared" si="8"/>
        <v>0</v>
      </c>
      <c r="P54" s="57">
        <f t="shared" si="8"/>
        <v>0</v>
      </c>
      <c r="Q54" s="57">
        <f t="shared" si="8"/>
        <v>0</v>
      </c>
      <c r="R54" s="57">
        <f t="shared" si="8"/>
        <v>0</v>
      </c>
      <c r="S54" s="57">
        <f t="shared" si="8"/>
        <v>0</v>
      </c>
      <c r="T54" s="57">
        <f t="shared" si="8"/>
        <v>0</v>
      </c>
    </row>
    <row r="55" spans="2:20" ht="18" customHeight="1" x14ac:dyDescent="0.4">
      <c r="C55" s="148"/>
      <c r="E55" s="75"/>
      <c r="F55" s="58" t="s">
        <v>80</v>
      </c>
      <c r="H55" s="73">
        <v>400</v>
      </c>
      <c r="I55" s="66" t="s">
        <v>88</v>
      </c>
      <c r="K55" s="57">
        <f>+H55*K2</f>
        <v>4800</v>
      </c>
      <c r="L55" s="57">
        <f t="shared" si="8"/>
        <v>4920</v>
      </c>
      <c r="M55" s="57">
        <f t="shared" si="8"/>
        <v>5043</v>
      </c>
      <c r="N55" s="57">
        <f t="shared" si="8"/>
        <v>5169.0749999999998</v>
      </c>
      <c r="O55" s="57">
        <f t="shared" si="8"/>
        <v>5298.3018749999992</v>
      </c>
      <c r="P55" s="57">
        <f t="shared" si="8"/>
        <v>5430.7594218749991</v>
      </c>
      <c r="Q55" s="57">
        <f t="shared" si="8"/>
        <v>5566.5284074218735</v>
      </c>
      <c r="R55" s="57">
        <f t="shared" si="8"/>
        <v>5705.6916176074201</v>
      </c>
      <c r="S55" s="57">
        <f t="shared" si="8"/>
        <v>5848.3339080476053</v>
      </c>
      <c r="T55" s="57">
        <f t="shared" si="8"/>
        <v>5994.5422557487946</v>
      </c>
    </row>
    <row r="56" spans="2:20" ht="18" customHeight="1" x14ac:dyDescent="0.4">
      <c r="C56" s="148">
        <f>2.2/29</f>
        <v>7.5862068965517254E-2</v>
      </c>
      <c r="E56" s="80">
        <v>7</v>
      </c>
      <c r="F56" s="64" t="s">
        <v>81</v>
      </c>
      <c r="H56" s="73">
        <v>2300</v>
      </c>
      <c r="I56" s="66" t="s">
        <v>88</v>
      </c>
      <c r="K56" s="65">
        <f>+$H56*$E56*K2</f>
        <v>193200</v>
      </c>
      <c r="L56" s="65">
        <f t="shared" si="8"/>
        <v>198029.99999999997</v>
      </c>
      <c r="M56" s="65">
        <f t="shared" si="8"/>
        <v>202980.74999999994</v>
      </c>
      <c r="N56" s="65">
        <f t="shared" si="8"/>
        <v>208055.26874999993</v>
      </c>
      <c r="O56" s="65">
        <f t="shared" si="8"/>
        <v>213256.6504687499</v>
      </c>
      <c r="P56" s="65">
        <f t="shared" si="8"/>
        <v>218588.06673046862</v>
      </c>
      <c r="Q56" s="65">
        <f t="shared" si="8"/>
        <v>224052.76839873032</v>
      </c>
      <c r="R56" s="65">
        <f t="shared" si="8"/>
        <v>229654.08760869855</v>
      </c>
      <c r="S56" s="65">
        <f t="shared" si="8"/>
        <v>235395.43979891599</v>
      </c>
      <c r="T56" s="65">
        <f t="shared" si="8"/>
        <v>241280.32579388886</v>
      </c>
    </row>
    <row r="57" spans="2:20" ht="18" customHeight="1" x14ac:dyDescent="0.4">
      <c r="E57" s="75"/>
      <c r="F57" s="64" t="s">
        <v>82</v>
      </c>
      <c r="H57" s="74"/>
      <c r="I57" s="66"/>
      <c r="K57" s="65">
        <f>+SUM(K58:K58)</f>
        <v>0</v>
      </c>
      <c r="L57" s="65">
        <f t="shared" si="8"/>
        <v>0</v>
      </c>
      <c r="M57" s="65">
        <f t="shared" si="8"/>
        <v>0</v>
      </c>
      <c r="N57" s="65">
        <f t="shared" si="8"/>
        <v>0</v>
      </c>
      <c r="O57" s="65">
        <f t="shared" si="8"/>
        <v>0</v>
      </c>
      <c r="P57" s="65">
        <f t="shared" si="8"/>
        <v>0</v>
      </c>
      <c r="Q57" s="65">
        <f t="shared" si="8"/>
        <v>0</v>
      </c>
      <c r="R57" s="65">
        <f t="shared" si="8"/>
        <v>0</v>
      </c>
      <c r="S57" s="65">
        <f t="shared" si="8"/>
        <v>0</v>
      </c>
      <c r="T57" s="65">
        <f t="shared" si="8"/>
        <v>0</v>
      </c>
    </row>
    <row r="58" spans="2:20" ht="18" customHeight="1" x14ac:dyDescent="0.4">
      <c r="E58" s="75"/>
      <c r="F58" s="58" t="s">
        <v>98</v>
      </c>
      <c r="H58" s="78">
        <v>0.68181818181818188</v>
      </c>
      <c r="I58" s="66" t="s">
        <v>109</v>
      </c>
      <c r="K58" s="57">
        <f>+$H58*K$17</f>
        <v>0</v>
      </c>
      <c r="L58" s="57">
        <f t="shared" si="8"/>
        <v>0</v>
      </c>
      <c r="M58" s="57">
        <f t="shared" si="8"/>
        <v>0</v>
      </c>
      <c r="N58" s="57">
        <f t="shared" si="8"/>
        <v>0</v>
      </c>
      <c r="O58" s="57">
        <f t="shared" si="8"/>
        <v>0</v>
      </c>
      <c r="P58" s="57">
        <f t="shared" si="8"/>
        <v>0</v>
      </c>
      <c r="Q58" s="57">
        <f t="shared" si="8"/>
        <v>0</v>
      </c>
      <c r="R58" s="57">
        <f t="shared" si="8"/>
        <v>0</v>
      </c>
      <c r="S58" s="57">
        <f t="shared" si="8"/>
        <v>0</v>
      </c>
      <c r="T58" s="57">
        <f t="shared" si="8"/>
        <v>0</v>
      </c>
    </row>
    <row r="59" spans="2:20" ht="18" customHeight="1" x14ac:dyDescent="0.4">
      <c r="E59" s="75"/>
      <c r="F59" s="64" t="s">
        <v>83</v>
      </c>
      <c r="H59" s="73">
        <v>4.5</v>
      </c>
      <c r="I59" s="66" t="s">
        <v>92</v>
      </c>
      <c r="K59" s="65">
        <f>+$H59*$H$24</f>
        <v>0</v>
      </c>
      <c r="L59" s="65">
        <f t="shared" si="8"/>
        <v>0</v>
      </c>
      <c r="M59" s="65">
        <f t="shared" si="8"/>
        <v>0</v>
      </c>
      <c r="N59" s="65">
        <f t="shared" si="8"/>
        <v>0</v>
      </c>
      <c r="O59" s="65">
        <f t="shared" si="8"/>
        <v>0</v>
      </c>
      <c r="P59" s="65">
        <f t="shared" si="8"/>
        <v>0</v>
      </c>
      <c r="Q59" s="65">
        <f t="shared" si="8"/>
        <v>0</v>
      </c>
      <c r="R59" s="65">
        <f t="shared" si="8"/>
        <v>0</v>
      </c>
      <c r="S59" s="65">
        <f t="shared" si="8"/>
        <v>0</v>
      </c>
      <c r="T59" s="65">
        <f t="shared" si="8"/>
        <v>0</v>
      </c>
    </row>
    <row r="60" spans="2:20" ht="18" customHeight="1" x14ac:dyDescent="0.4">
      <c r="B60" s="38" t="s">
        <v>108</v>
      </c>
      <c r="C60" s="39">
        <v>0.03</v>
      </c>
      <c r="E60" s="75"/>
      <c r="F60" s="64" t="s">
        <v>84</v>
      </c>
      <c r="H60" s="74"/>
      <c r="I60" s="66"/>
      <c r="K60" s="65">
        <f>+SUM(K61:K62)</f>
        <v>0</v>
      </c>
      <c r="L60" s="65">
        <f t="shared" ref="L60:T65" si="10">+K60*(1+$H$4)</f>
        <v>0</v>
      </c>
      <c r="M60" s="65">
        <f t="shared" si="10"/>
        <v>0</v>
      </c>
      <c r="N60" s="65">
        <f t="shared" si="10"/>
        <v>0</v>
      </c>
      <c r="O60" s="65">
        <f t="shared" si="10"/>
        <v>0</v>
      </c>
      <c r="P60" s="65">
        <f t="shared" si="10"/>
        <v>0</v>
      </c>
      <c r="Q60" s="65">
        <f t="shared" si="10"/>
        <v>0</v>
      </c>
      <c r="R60" s="65">
        <f t="shared" si="10"/>
        <v>0</v>
      </c>
      <c r="S60" s="65">
        <f t="shared" si="10"/>
        <v>0</v>
      </c>
      <c r="T60" s="65">
        <f t="shared" si="10"/>
        <v>0</v>
      </c>
    </row>
    <row r="61" spans="2:20" ht="18" customHeight="1" x14ac:dyDescent="0.4">
      <c r="B61" s="38" t="s">
        <v>106</v>
      </c>
      <c r="C61" s="39">
        <v>0.21</v>
      </c>
      <c r="E61" s="75"/>
      <c r="F61" s="58" t="s">
        <v>106</v>
      </c>
      <c r="H61" s="79">
        <v>2.2499999999999999E-2</v>
      </c>
      <c r="I61" s="66" t="s">
        <v>94</v>
      </c>
      <c r="K61" s="57">
        <f>+(K$16+K$17*$C$62)*C61*H61</f>
        <v>0</v>
      </c>
      <c r="L61" s="57">
        <f t="shared" si="10"/>
        <v>0</v>
      </c>
      <c r="M61" s="57">
        <f t="shared" si="10"/>
        <v>0</v>
      </c>
      <c r="N61" s="57">
        <f t="shared" si="10"/>
        <v>0</v>
      </c>
      <c r="O61" s="57">
        <f t="shared" si="10"/>
        <v>0</v>
      </c>
      <c r="P61" s="57">
        <f t="shared" si="10"/>
        <v>0</v>
      </c>
      <c r="Q61" s="57">
        <f t="shared" si="10"/>
        <v>0</v>
      </c>
      <c r="R61" s="57">
        <f t="shared" si="10"/>
        <v>0</v>
      </c>
      <c r="S61" s="57">
        <f t="shared" si="10"/>
        <v>0</v>
      </c>
      <c r="T61" s="57">
        <f t="shared" si="10"/>
        <v>0</v>
      </c>
    </row>
    <row r="62" spans="2:20" ht="18" customHeight="1" x14ac:dyDescent="0.4">
      <c r="B62" s="38" t="s">
        <v>107</v>
      </c>
      <c r="C62" s="39">
        <f>100%-SUM(C60:C61)</f>
        <v>0.76</v>
      </c>
      <c r="E62" s="75"/>
      <c r="F62" s="58" t="s">
        <v>107</v>
      </c>
      <c r="H62" s="79">
        <v>0.15</v>
      </c>
      <c r="I62" s="66" t="s">
        <v>95</v>
      </c>
      <c r="K62" s="57">
        <f>+(K$16+K$17*$C$62)*C62*H62</f>
        <v>0</v>
      </c>
      <c r="L62" s="57">
        <f t="shared" si="10"/>
        <v>0</v>
      </c>
      <c r="M62" s="57">
        <f t="shared" si="10"/>
        <v>0</v>
      </c>
      <c r="N62" s="57">
        <f t="shared" si="10"/>
        <v>0</v>
      </c>
      <c r="O62" s="57">
        <f t="shared" si="10"/>
        <v>0</v>
      </c>
      <c r="P62" s="57">
        <f t="shared" si="10"/>
        <v>0</v>
      </c>
      <c r="Q62" s="57">
        <f t="shared" si="10"/>
        <v>0</v>
      </c>
      <c r="R62" s="57">
        <f t="shared" si="10"/>
        <v>0</v>
      </c>
      <c r="S62" s="57">
        <f t="shared" si="10"/>
        <v>0</v>
      </c>
      <c r="T62" s="57">
        <f t="shared" si="10"/>
        <v>0</v>
      </c>
    </row>
    <row r="63" spans="2:20" ht="18" customHeight="1" x14ac:dyDescent="0.4">
      <c r="E63" s="75"/>
      <c r="F63" s="64" t="s">
        <v>85</v>
      </c>
      <c r="H63" s="74"/>
      <c r="I63" s="66"/>
      <c r="K63" s="65">
        <f>+SUM(K64:K65)</f>
        <v>495</v>
      </c>
      <c r="L63" s="65">
        <f t="shared" si="10"/>
        <v>507.37499999999994</v>
      </c>
      <c r="M63" s="65">
        <f t="shared" si="10"/>
        <v>520.05937499999993</v>
      </c>
      <c r="N63" s="65">
        <f t="shared" si="10"/>
        <v>533.06085937499984</v>
      </c>
      <c r="O63" s="65">
        <f t="shared" si="10"/>
        <v>546.38738085937473</v>
      </c>
      <c r="P63" s="65">
        <f t="shared" si="10"/>
        <v>560.04706538085907</v>
      </c>
      <c r="Q63" s="65">
        <f t="shared" si="10"/>
        <v>574.04824201538054</v>
      </c>
      <c r="R63" s="65">
        <f t="shared" si="10"/>
        <v>588.399448065765</v>
      </c>
      <c r="S63" s="65">
        <f t="shared" si="10"/>
        <v>603.10943426740903</v>
      </c>
      <c r="T63" s="65">
        <f t="shared" si="10"/>
        <v>618.18717012409422</v>
      </c>
    </row>
    <row r="64" spans="2:20" ht="18" customHeight="1" x14ac:dyDescent="0.4">
      <c r="E64" s="75"/>
      <c r="F64" s="58" t="s">
        <v>86</v>
      </c>
      <c r="H64" s="73">
        <v>41.25</v>
      </c>
      <c r="I64" s="66" t="s">
        <v>88</v>
      </c>
      <c r="K64" s="57">
        <f>+H64*K2</f>
        <v>495</v>
      </c>
      <c r="L64" s="57">
        <f t="shared" si="10"/>
        <v>507.37499999999994</v>
      </c>
      <c r="M64" s="57">
        <f t="shared" si="10"/>
        <v>520.05937499999993</v>
      </c>
      <c r="N64" s="57">
        <f t="shared" si="10"/>
        <v>533.06085937499984</v>
      </c>
      <c r="O64" s="57">
        <f t="shared" si="10"/>
        <v>546.38738085937473</v>
      </c>
      <c r="P64" s="57">
        <f t="shared" si="10"/>
        <v>560.04706538085907</v>
      </c>
      <c r="Q64" s="57">
        <f t="shared" si="10"/>
        <v>574.04824201538054</v>
      </c>
      <c r="R64" s="57">
        <f t="shared" si="10"/>
        <v>588.399448065765</v>
      </c>
      <c r="S64" s="57">
        <f t="shared" si="10"/>
        <v>603.10943426740903</v>
      </c>
      <c r="T64" s="57">
        <f t="shared" si="10"/>
        <v>618.18717012409422</v>
      </c>
    </row>
    <row r="65" spans="5:20" ht="18" customHeight="1" x14ac:dyDescent="0.4">
      <c r="E65" s="75"/>
      <c r="F65" s="58" t="s">
        <v>87</v>
      </c>
      <c r="H65" s="82">
        <v>0.02</v>
      </c>
      <c r="I65" s="66" t="s">
        <v>90</v>
      </c>
      <c r="K65" s="57">
        <f>+$H65*K$15</f>
        <v>0</v>
      </c>
      <c r="L65" s="57">
        <f t="shared" si="10"/>
        <v>0</v>
      </c>
      <c r="M65" s="57">
        <f t="shared" si="10"/>
        <v>0</v>
      </c>
      <c r="N65" s="57">
        <f t="shared" si="10"/>
        <v>0</v>
      </c>
      <c r="O65" s="57">
        <f t="shared" si="10"/>
        <v>0</v>
      </c>
      <c r="P65" s="57">
        <f t="shared" si="10"/>
        <v>0</v>
      </c>
      <c r="Q65" s="57">
        <f t="shared" si="10"/>
        <v>0</v>
      </c>
      <c r="R65" s="57">
        <f t="shared" si="10"/>
        <v>0</v>
      </c>
      <c r="S65" s="57">
        <f t="shared" si="10"/>
        <v>0</v>
      </c>
      <c r="T65" s="57">
        <f t="shared" si="10"/>
        <v>0</v>
      </c>
    </row>
    <row r="66" spans="5:20" x14ac:dyDescent="0.4">
      <c r="K66" s="52"/>
      <c r="L66" s="52"/>
      <c r="M66" s="52"/>
      <c r="N66" s="52"/>
      <c r="O66" s="52"/>
      <c r="P66" s="52"/>
      <c r="Q66" s="52"/>
      <c r="R66" s="52"/>
      <c r="S66" s="52"/>
      <c r="T66" s="52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21B1-A5FB-489C-A6A3-7F0EB63FDCBE}">
  <dimension ref="B3:F8"/>
  <sheetViews>
    <sheetView workbookViewId="0"/>
  </sheetViews>
  <sheetFormatPr defaultRowHeight="12.5" x14ac:dyDescent="0.25"/>
  <cols>
    <col min="2" max="2" width="17.7265625" customWidth="1"/>
  </cols>
  <sheetData>
    <row r="3" spans="2:6" x14ac:dyDescent="0.25">
      <c r="B3" s="113" t="s">
        <v>191</v>
      </c>
    </row>
    <row r="4" spans="2:6" x14ac:dyDescent="0.25">
      <c r="B4" s="113"/>
    </row>
    <row r="5" spans="2:6" x14ac:dyDescent="0.25">
      <c r="C5" s="113" t="s">
        <v>192</v>
      </c>
      <c r="D5" s="113" t="s">
        <v>35</v>
      </c>
    </row>
    <row r="6" spans="2:6" x14ac:dyDescent="0.25">
      <c r="B6" s="113" t="s">
        <v>193</v>
      </c>
      <c r="C6">
        <v>10.9</v>
      </c>
      <c r="D6">
        <f>57+115</f>
        <v>172</v>
      </c>
      <c r="E6">
        <f>+C6/D6</f>
        <v>6.3372093023255818E-2</v>
      </c>
      <c r="F6" s="113" t="s">
        <v>195</v>
      </c>
    </row>
    <row r="7" spans="2:6" x14ac:dyDescent="0.25">
      <c r="B7" s="113" t="s">
        <v>194</v>
      </c>
      <c r="C7">
        <v>4</v>
      </c>
      <c r="D7">
        <f>11+15+14+15+29</f>
        <v>84</v>
      </c>
      <c r="E7">
        <f>+C7/D7</f>
        <v>4.7619047619047616E-2</v>
      </c>
      <c r="F7" s="113" t="s">
        <v>196</v>
      </c>
    </row>
    <row r="8" spans="2:6" x14ac:dyDescent="0.25">
      <c r="B8" s="11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17BD-28C8-45B5-9936-9E63C046E943}">
  <dimension ref="B2:E68"/>
  <sheetViews>
    <sheetView workbookViewId="0"/>
  </sheetViews>
  <sheetFormatPr defaultRowHeight="12.5" x14ac:dyDescent="0.25"/>
  <cols>
    <col min="2" max="5" width="18.81640625" customWidth="1"/>
  </cols>
  <sheetData>
    <row r="2" spans="2:5" x14ac:dyDescent="0.25">
      <c r="D2" s="210" t="s">
        <v>188</v>
      </c>
    </row>
    <row r="3" spans="2:5" ht="24.75" customHeight="1" x14ac:dyDescent="0.25">
      <c r="B3" s="208" t="s">
        <v>176</v>
      </c>
      <c r="C3" s="208" t="s">
        <v>177</v>
      </c>
      <c r="D3" s="208" t="s">
        <v>186</v>
      </c>
      <c r="E3" s="208" t="s">
        <v>178</v>
      </c>
    </row>
    <row r="4" spans="2:5" x14ac:dyDescent="0.25">
      <c r="B4" s="206" t="s">
        <v>187</v>
      </c>
      <c r="C4" s="211" t="s">
        <v>189</v>
      </c>
      <c r="D4" s="212" t="s">
        <v>190</v>
      </c>
      <c r="E4" s="212" t="s">
        <v>190</v>
      </c>
    </row>
    <row r="5" spans="2:5" x14ac:dyDescent="0.25">
      <c r="B5" s="206" t="s">
        <v>179</v>
      </c>
      <c r="C5" s="207" t="s">
        <v>180</v>
      </c>
      <c r="D5" s="206">
        <v>49.2</v>
      </c>
      <c r="E5" s="206">
        <v>40.770000000000003</v>
      </c>
    </row>
    <row r="6" spans="2:5" x14ac:dyDescent="0.25">
      <c r="B6" s="206" t="s">
        <v>179</v>
      </c>
      <c r="C6" s="207" t="s">
        <v>181</v>
      </c>
      <c r="D6" s="206">
        <v>59.72</v>
      </c>
      <c r="E6" s="206">
        <v>47.07</v>
      </c>
    </row>
    <row r="7" spans="2:5" x14ac:dyDescent="0.25">
      <c r="B7" s="206" t="s">
        <v>182</v>
      </c>
      <c r="C7" s="207" t="s">
        <v>180</v>
      </c>
      <c r="D7" s="206">
        <v>49.2</v>
      </c>
      <c r="E7" s="206">
        <v>40.770000000000003</v>
      </c>
    </row>
    <row r="8" spans="2:5" x14ac:dyDescent="0.25">
      <c r="B8" s="206" t="s">
        <v>182</v>
      </c>
      <c r="C8" s="207" t="s">
        <v>181</v>
      </c>
      <c r="D8" s="206">
        <v>59.72</v>
      </c>
      <c r="E8" s="206">
        <v>47.07</v>
      </c>
    </row>
    <row r="9" spans="2:5" x14ac:dyDescent="0.25">
      <c r="B9" s="206" t="s">
        <v>183</v>
      </c>
      <c r="C9" s="207" t="s">
        <v>180</v>
      </c>
      <c r="D9" s="206">
        <v>49.2</v>
      </c>
      <c r="E9" s="206">
        <v>40.770000000000003</v>
      </c>
    </row>
    <row r="10" spans="2:5" x14ac:dyDescent="0.25">
      <c r="B10" s="206" t="s">
        <v>183</v>
      </c>
      <c r="C10" s="207" t="s">
        <v>181</v>
      </c>
      <c r="D10" s="206">
        <v>59.72</v>
      </c>
      <c r="E10" s="206">
        <v>47.07</v>
      </c>
    </row>
    <row r="11" spans="2:5" x14ac:dyDescent="0.25">
      <c r="B11" s="206" t="s">
        <v>184</v>
      </c>
      <c r="C11" s="207" t="s">
        <v>185</v>
      </c>
      <c r="D11" s="206">
        <v>90.4</v>
      </c>
      <c r="E11" s="206">
        <v>69.27</v>
      </c>
    </row>
    <row r="12" spans="2:5" x14ac:dyDescent="0.25">
      <c r="B12" s="209"/>
      <c r="C12" s="209"/>
      <c r="D12" s="209">
        <f>SUM(D5:D11)</f>
        <v>417.15999999999997</v>
      </c>
      <c r="E12" s="209">
        <f>SUM(E5:E11)</f>
        <v>332.79</v>
      </c>
    </row>
    <row r="62" spans="2:5" ht="13" x14ac:dyDescent="0.25">
      <c r="B62" s="213" t="s">
        <v>199</v>
      </c>
      <c r="C62" s="213" t="s">
        <v>200</v>
      </c>
      <c r="D62" s="213" t="s">
        <v>201</v>
      </c>
      <c r="E62" s="213" t="s">
        <v>202</v>
      </c>
    </row>
    <row r="63" spans="2:5" x14ac:dyDescent="0.25">
      <c r="B63" s="206" t="s">
        <v>203</v>
      </c>
      <c r="C63" s="206">
        <v>18</v>
      </c>
      <c r="D63" s="206">
        <v>0</v>
      </c>
      <c r="E63" s="206">
        <v>18</v>
      </c>
    </row>
    <row r="64" spans="2:5" x14ac:dyDescent="0.25">
      <c r="B64" s="206" t="s">
        <v>204</v>
      </c>
      <c r="C64" s="206">
        <v>18</v>
      </c>
      <c r="D64" s="206">
        <v>0</v>
      </c>
      <c r="E64" s="206">
        <v>18</v>
      </c>
    </row>
    <row r="65" spans="2:5" x14ac:dyDescent="0.25">
      <c r="B65" s="206" t="s">
        <v>205</v>
      </c>
      <c r="C65" s="206">
        <v>14</v>
      </c>
      <c r="D65" s="206">
        <v>4</v>
      </c>
      <c r="E65" s="206">
        <v>18</v>
      </c>
    </row>
    <row r="66" spans="2:5" x14ac:dyDescent="0.25">
      <c r="B66" s="206" t="s">
        <v>206</v>
      </c>
      <c r="C66" s="206">
        <v>14</v>
      </c>
      <c r="D66" s="206">
        <v>4</v>
      </c>
      <c r="E66" s="206">
        <v>18</v>
      </c>
    </row>
    <row r="67" spans="2:5" x14ac:dyDescent="0.25">
      <c r="B67" s="206" t="s">
        <v>207</v>
      </c>
      <c r="C67" s="206">
        <v>0</v>
      </c>
      <c r="D67" s="206">
        <v>0</v>
      </c>
      <c r="E67" s="206">
        <v>0</v>
      </c>
    </row>
    <row r="68" spans="2:5" ht="13" x14ac:dyDescent="0.25">
      <c r="B68" s="214" t="s">
        <v>198</v>
      </c>
      <c r="C68" s="214">
        <v>64</v>
      </c>
      <c r="D68" s="214">
        <v>8</v>
      </c>
      <c r="E68" s="214">
        <v>72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C895-E1D0-4893-9D00-1C48B2D7D004}">
  <dimension ref="A1:D6"/>
  <sheetViews>
    <sheetView showGridLines="0" workbookViewId="0">
      <selection activeCell="B6" sqref="B6"/>
    </sheetView>
  </sheetViews>
  <sheetFormatPr defaultRowHeight="12.5" x14ac:dyDescent="0.25"/>
  <cols>
    <col min="1" max="1" width="32.453125" bestFit="1" customWidth="1"/>
    <col min="2" max="2" width="35.81640625" bestFit="1" customWidth="1"/>
    <col min="3" max="3" width="27.54296875" bestFit="1" customWidth="1"/>
    <col min="4" max="4" width="24" bestFit="1" customWidth="1"/>
    <col min="8" max="8" width="21" bestFit="1" customWidth="1"/>
    <col min="9" max="9" width="23.81640625" bestFit="1" customWidth="1"/>
    <col min="10" max="10" width="22.08984375" bestFit="1" customWidth="1"/>
    <col min="11" max="11" width="35.81640625" bestFit="1" customWidth="1"/>
    <col min="12" max="12" width="22.08984375" bestFit="1" customWidth="1"/>
    <col min="13" max="13" width="30.90625" bestFit="1" customWidth="1"/>
  </cols>
  <sheetData>
    <row r="1" spans="1:4" ht="13" x14ac:dyDescent="0.25">
      <c r="A1" s="233" t="s">
        <v>284</v>
      </c>
      <c r="B1" s="233" t="s">
        <v>285</v>
      </c>
      <c r="C1" s="233" t="s">
        <v>286</v>
      </c>
      <c r="D1" s="233" t="s">
        <v>287</v>
      </c>
    </row>
    <row r="2" spans="1:4" ht="13.5" customHeight="1" x14ac:dyDescent="0.25">
      <c r="A2" s="234" t="s">
        <v>222</v>
      </c>
      <c r="B2" s="233"/>
      <c r="C2" s="233"/>
      <c r="D2">
        <v>11.5</v>
      </c>
    </row>
    <row r="3" spans="1:4" ht="13.5" customHeight="1" x14ac:dyDescent="0.25">
      <c r="A3" s="234" t="s">
        <v>266</v>
      </c>
      <c r="B3" s="226">
        <v>30</v>
      </c>
      <c r="C3" s="226">
        <v>35</v>
      </c>
      <c r="D3">
        <f>+AVERAGE(B3:C3)</f>
        <v>32.5</v>
      </c>
    </row>
    <row r="4" spans="1:4" ht="13.5" customHeight="1" x14ac:dyDescent="0.25">
      <c r="A4" s="234" t="s">
        <v>265</v>
      </c>
      <c r="B4" s="226">
        <v>35</v>
      </c>
      <c r="C4" s="226">
        <v>45</v>
      </c>
      <c r="D4">
        <f t="shared" ref="D4:D6" si="0">+AVERAGE(B4:C4)</f>
        <v>40</v>
      </c>
    </row>
    <row r="5" spans="1:4" ht="13.5" customHeight="1" x14ac:dyDescent="0.25">
      <c r="A5" s="234" t="s">
        <v>243</v>
      </c>
      <c r="B5" s="226">
        <v>45</v>
      </c>
      <c r="C5" s="226">
        <v>60</v>
      </c>
      <c r="D5">
        <f t="shared" si="0"/>
        <v>52.5</v>
      </c>
    </row>
    <row r="6" spans="1:4" ht="13.5" customHeight="1" x14ac:dyDescent="0.25">
      <c r="A6" s="234" t="s">
        <v>223</v>
      </c>
      <c r="B6" s="226">
        <v>50</v>
      </c>
      <c r="C6" s="226">
        <v>70</v>
      </c>
      <c r="D6">
        <f t="shared" si="0"/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36CD-F857-4E09-A45F-C097444FD673}">
  <dimension ref="B2:D30"/>
  <sheetViews>
    <sheetView workbookViewId="0"/>
  </sheetViews>
  <sheetFormatPr defaultRowHeight="12.5" x14ac:dyDescent="0.25"/>
  <cols>
    <col min="2" max="2" width="20.453125" bestFit="1" customWidth="1"/>
  </cols>
  <sheetData>
    <row r="2" spans="2:4" x14ac:dyDescent="0.25">
      <c r="B2" s="215" t="s">
        <v>221</v>
      </c>
      <c r="D2" s="215" t="s">
        <v>281</v>
      </c>
    </row>
    <row r="4" spans="2:4" x14ac:dyDescent="0.25">
      <c r="B4" t="s">
        <v>222</v>
      </c>
      <c r="D4" t="s">
        <v>282</v>
      </c>
    </row>
    <row r="5" spans="2:4" x14ac:dyDescent="0.25">
      <c r="B5" t="s">
        <v>223</v>
      </c>
      <c r="D5" t="s">
        <v>242</v>
      </c>
    </row>
    <row r="6" spans="2:4" x14ac:dyDescent="0.25">
      <c r="B6" t="s">
        <v>266</v>
      </c>
    </row>
    <row r="7" spans="2:4" x14ac:dyDescent="0.25">
      <c r="B7" t="s">
        <v>265</v>
      </c>
    </row>
    <row r="8" spans="2:4" x14ac:dyDescent="0.25">
      <c r="B8" s="216" t="s">
        <v>243</v>
      </c>
    </row>
    <row r="9" spans="2:4" x14ac:dyDescent="0.25">
      <c r="B9" s="114"/>
    </row>
    <row r="10" spans="2:4" x14ac:dyDescent="0.25">
      <c r="B10" s="215" t="s">
        <v>213</v>
      </c>
      <c r="D10" s="113"/>
    </row>
    <row r="12" spans="2:4" x14ac:dyDescent="0.25">
      <c r="B12" s="113" t="s">
        <v>226</v>
      </c>
    </row>
    <row r="13" spans="2:4" x14ac:dyDescent="0.25">
      <c r="B13" s="113" t="s">
        <v>227</v>
      </c>
    </row>
    <row r="14" spans="2:4" x14ac:dyDescent="0.25">
      <c r="B14" s="113" t="s">
        <v>228</v>
      </c>
    </row>
    <row r="15" spans="2:4" x14ac:dyDescent="0.25">
      <c r="B15" s="113" t="s">
        <v>229</v>
      </c>
    </row>
    <row r="18" spans="2:2" x14ac:dyDescent="0.25">
      <c r="B18" s="217" t="s">
        <v>214</v>
      </c>
    </row>
    <row r="20" spans="2:2" x14ac:dyDescent="0.25">
      <c r="B20" s="67">
        <v>1</v>
      </c>
    </row>
    <row r="21" spans="2:2" x14ac:dyDescent="0.25">
      <c r="B21" s="67">
        <v>2</v>
      </c>
    </row>
    <row r="22" spans="2:2" x14ac:dyDescent="0.25">
      <c r="B22" s="67">
        <v>3</v>
      </c>
    </row>
    <row r="23" spans="2:2" x14ac:dyDescent="0.25">
      <c r="B23" s="67">
        <v>4</v>
      </c>
    </row>
    <row r="24" spans="2:2" x14ac:dyDescent="0.25">
      <c r="B24" s="216" t="s">
        <v>231</v>
      </c>
    </row>
    <row r="27" spans="2:2" x14ac:dyDescent="0.25">
      <c r="B27" s="215" t="s">
        <v>216</v>
      </c>
    </row>
    <row r="29" spans="2:2" x14ac:dyDescent="0.25">
      <c r="B29" s="113" t="s">
        <v>234</v>
      </c>
    </row>
    <row r="30" spans="2:2" x14ac:dyDescent="0.25">
      <c r="B30" s="11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NONO</vt:lpstr>
      <vt:lpstr>Lease option 1</vt:lpstr>
      <vt:lpstr>Lease option 2</vt:lpstr>
      <vt:lpstr>FORM</vt:lpstr>
      <vt:lpstr>Projections</vt:lpstr>
      <vt:lpstr>PEM</vt:lpstr>
      <vt:lpstr>Especerías - Expenses</vt:lpstr>
      <vt:lpstr>Sheet2</vt:lpstr>
      <vt:lpstr>Superfícies</vt:lpstr>
      <vt:lpstr>Sizes</vt:lpstr>
      <vt:lpstr>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</dc:creator>
  <cp:lastModifiedBy>Nina White Spain</cp:lastModifiedBy>
  <dcterms:created xsi:type="dcterms:W3CDTF">2025-06-30T15:51:33Z</dcterms:created>
  <dcterms:modified xsi:type="dcterms:W3CDTF">2026-01-09T20:52:18Z</dcterms:modified>
</cp:coreProperties>
</file>